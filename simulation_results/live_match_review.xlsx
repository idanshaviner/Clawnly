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tart here" sheetId="1" state="visible" r:id="rId1"/>
    <sheet name="Matches" sheetId="2" state="visible" r:id="rId2"/>
    <sheet name="Answers" sheetId="3" state="visible" r:id="rId3"/>
    <sheet name="Tally" sheetId="4" state="visible" r:id="rId4"/>
    <sheet name="People" sheetId="5" state="visible" r:id="rId5"/>
  </sheets>
  <definedNames>
    <definedName name="_xlnm._FilterDatabase" localSheetId="1" hidden="1">'Matches'!$A$1:$R$68</definedName>
    <definedName name="_xlnm.Print_Titles" localSheetId="1">'Matches'!$1:$1</definedName>
    <definedName name="_xlnm._FilterDatabase" localSheetId="2" hidden="1">'Answers'!$A$1:$N$297</definedName>
    <definedName name="_xlnm._FilterDatabase" localSheetId="4" hidden="1">'People'!$A$1:$O$201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8"/>
    </font>
    <font>
      <name val="Arial"/>
      <color rgb="00595959"/>
      <sz val="11"/>
    </font>
    <font>
      <name val="Arial"/>
      <b val="1"/>
      <color rgb="001F3864"/>
      <sz val="13"/>
    </font>
    <font>
      <name val="Arial"/>
      <sz val="11"/>
    </font>
    <font>
      <name val="Arial"/>
      <b val="1"/>
      <sz val="11"/>
    </font>
    <font>
      <name val="Arial"/>
      <i val="1"/>
      <sz val="11"/>
    </font>
    <font>
      <name val="Arial"/>
      <b val="1"/>
      <color rgb="00FFFFFF"/>
      <sz val="11"/>
    </font>
    <font>
      <name val="Arial"/>
      <color rgb="00808080"/>
      <sz val="9"/>
    </font>
    <font>
      <name val="Arial"/>
      <sz val="10"/>
    </font>
    <font>
      <name val="Arial"/>
      <i val="1"/>
      <color rgb="00808080"/>
      <sz val="9"/>
    </font>
  </fonts>
  <fills count="9">
    <fill>
      <patternFill/>
    </fill>
    <fill>
      <patternFill patternType="gray125"/>
    </fill>
    <fill>
      <patternFill patternType="solid">
        <fgColor rgb="00C6EFCE"/>
      </patternFill>
    </fill>
    <fill>
      <patternFill patternType="solid">
        <fgColor rgb="00FFE699"/>
      </patternFill>
    </fill>
    <fill>
      <patternFill patternType="solid">
        <fgColor rgb="00F8CBAD"/>
      </patternFill>
    </fill>
    <fill>
      <patternFill patternType="solid">
        <fgColor rgb="00FFF2CC"/>
      </patternFill>
    </fill>
    <fill>
      <patternFill patternType="solid">
        <fgColor rgb="001F3864"/>
      </patternFill>
    </fill>
    <fill>
      <patternFill patternType="solid">
        <fgColor rgb="00F2F2F2"/>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7" fillId="6" borderId="1" applyAlignment="1" pivotButton="0" quotePrefix="0" xfId="0">
      <alignment vertical="center" wrapText="1"/>
    </xf>
    <xf numFmtId="0" fontId="4" fillId="7" borderId="1" applyAlignment="1" pivotButton="0" quotePrefix="0" xfId="0">
      <alignment horizontal="center" vertical="top" wrapText="1"/>
    </xf>
    <xf numFmtId="0" fontId="4" fillId="7" borderId="1" applyAlignment="1" pivotButton="0" quotePrefix="0" xfId="0">
      <alignment vertical="top" wrapText="1"/>
    </xf>
    <xf numFmtId="0" fontId="5" fillId="7" borderId="1" applyAlignment="1" pivotButton="0" quotePrefix="0" xfId="0">
      <alignment vertical="top" wrapText="1"/>
    </xf>
    <xf numFmtId="0" fontId="8" fillId="7" borderId="1" applyAlignment="1" pivotButton="0" quotePrefix="0" xfId="0">
      <alignment vertical="top" wrapText="1"/>
    </xf>
    <xf numFmtId="0" fontId="4" fillId="5" borderId="1" applyAlignment="1" pivotButton="0" quotePrefix="0" xfId="0">
      <alignment horizontal="center" vertical="top" wrapText="1"/>
    </xf>
    <xf numFmtId="0" fontId="4" fillId="5" borderId="1" applyAlignment="1" pivotButton="0" quotePrefix="0" xfId="0">
      <alignment vertical="top" wrapText="1"/>
    </xf>
    <xf numFmtId="0" fontId="9" fillId="7" borderId="1" applyAlignment="1" pivotButton="0" quotePrefix="0" xfId="0">
      <alignment vertical="top" wrapText="1"/>
    </xf>
    <xf numFmtId="0" fontId="4" fillId="8" borderId="1" applyAlignment="1" pivotButton="0" quotePrefix="0" xfId="0">
      <alignment horizontal="center"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8" fillId="8" borderId="1" applyAlignment="1" pivotButton="0" quotePrefix="0" xfId="0">
      <alignment vertical="top" wrapText="1"/>
    </xf>
    <xf numFmtId="0" fontId="9" fillId="8" borderId="1" applyAlignment="1" pivotButton="0" quotePrefix="0" xfId="0">
      <alignment vertical="top" wrapText="1"/>
    </xf>
    <xf numFmtId="0" fontId="9" fillId="0" borderId="1" applyAlignment="1" pivotButton="0" quotePrefix="0" xfId="0">
      <alignment vertical="top" wrapText="1"/>
    </xf>
    <xf numFmtId="0" fontId="9" fillId="0" borderId="1" applyAlignment="1" pivotButton="0" quotePrefix="0" xfId="0">
      <alignment horizontal="center" vertical="top" wrapText="1"/>
    </xf>
    <xf numFmtId="0" fontId="9" fillId="5" borderId="1" applyAlignment="1" pivotButton="0" quotePrefix="0" xfId="0">
      <alignment vertical="top" wrapText="1"/>
    </xf>
    <xf numFmtId="0" fontId="8" fillId="0" borderId="1" applyAlignment="1" pivotButton="0" quotePrefix="0" xfId="0">
      <alignment vertical="top" wrapText="1"/>
    </xf>
    <xf numFmtId="0" fontId="7" fillId="6" borderId="0" pivotButton="0" quotePrefix="0" xfId="0"/>
    <xf numFmtId="0" fontId="4" fillId="0" borderId="0" pivotButton="0" quotePrefix="0" xfId="0"/>
    <xf numFmtId="0" fontId="4" fillId="2" borderId="0" pivotButton="0" quotePrefix="0" xfId="0"/>
    <xf numFmtId="9" fontId="4" fillId="0" borderId="0" pivotButton="0" quotePrefix="0" xfId="0"/>
    <xf numFmtId="0" fontId="4" fillId="3" borderId="0" pivotButton="0" quotePrefix="0" xfId="0"/>
    <xf numFmtId="0" fontId="4" fillId="4" borderId="0" pivotButton="0" quotePrefix="0" xfId="0"/>
    <xf numFmtId="0" fontId="5" fillId="0" borderId="0" pivotButton="0" quotePrefix="0" xfId="0"/>
    <xf numFmtId="0" fontId="10" fillId="0" borderId="0"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1"/>
  <sheetViews>
    <sheetView showGridLines="0" workbookViewId="0">
      <selection activeCell="A1" sqref="A1"/>
    </sheetView>
  </sheetViews>
  <sheetFormatPr baseColWidth="8" defaultRowHeight="15"/>
  <cols>
    <col width="3" customWidth="1" min="1" max="1"/>
    <col width="26" customWidth="1" min="2" max="2"/>
    <col width="96" customWidth="1" min="3" max="3"/>
  </cols>
  <sheetData>
    <row r="2">
      <c r="B2" s="1" t="inlineStr">
        <is>
          <t>Clawnly live match review</t>
        </is>
      </c>
    </row>
    <row r="3">
      <c r="B3" s="2" t="inlineStr">
        <is>
          <t>67 groups the live AI matchmaker made in 5 runs on 29 Oct 2026 (Opus 5.5 planning, Sonnet 5 agents), with 296 invitations and every reason given.</t>
        </is>
      </c>
    </row>
    <row r="5" ht="26" customHeight="1">
      <c r="B5" s="3" t="inlineStr">
        <is>
          <t>How to review</t>
        </is>
      </c>
    </row>
    <row r="6" ht="18" customHeight="1">
      <c r="B6" s="4" t="inlineStr">
        <is>
          <t>1</t>
        </is>
      </c>
      <c r="C6" s="5" t="inlineStr">
        <is>
          <t>Open the Matches tab. Each row is one group the matchmaker made and code locked.</t>
        </is>
      </c>
    </row>
    <row r="7" ht="18" customHeight="1">
      <c r="B7" s="4" t="inlineStr">
        <is>
          <t>2</t>
        </is>
      </c>
      <c r="C7" s="5" t="inlineStr">
        <is>
          <t>Read Who, the matchmaker's reason, and how each person's agent answered and why. Then Claude's read.</t>
        </is>
      </c>
    </row>
    <row r="8" ht="18" customHeight="1">
      <c r="B8" s="4" t="inlineStr">
        <is>
          <t>3</t>
        </is>
      </c>
      <c r="C8" s="5" t="inlineStr">
        <is>
          <t>Pick Good / OK / Bad / Unsure under Your verdict, and add a note if you like.</t>
        </is>
      </c>
    </row>
    <row r="9" ht="34" customHeight="1">
      <c r="B9" s="4" t="inlineStr">
        <is>
          <t>4</t>
        </is>
      </c>
      <c r="C9" s="5" t="inlineStr">
        <is>
          <t>Want a single decision? The Answers tab has one row per invitation: what the matchmaker said, what code told the agent, and the agent's answer and reason.</t>
        </is>
      </c>
    </row>
    <row r="10" ht="18" customHeight="1">
      <c r="B10" s="4" t="inlineStr">
        <is>
          <t>5</t>
        </is>
      </c>
      <c r="C10" s="5" t="inlineStr">
        <is>
          <t>The Tally tab counts your verdicts and where you and Claude disagree.</t>
        </is>
      </c>
    </row>
    <row r="11" ht="26" customHeight="1">
      <c r="B11" s="3" t="inlineStr">
        <is>
          <t>The runs</t>
        </is>
      </c>
    </row>
    <row r="12" ht="18" customHeight="1">
      <c r="B12" s="4" t="inlineStr">
        <is>
          <t>S</t>
        </is>
      </c>
      <c r="C12" s="5" t="inlineStr">
        <is>
          <t>Smoke test: 8 people, Sat 31 Oct. Before the fixes.</t>
        </is>
      </c>
    </row>
    <row r="13" ht="18" customHeight="1">
      <c r="B13" s="4" t="inlineStr">
        <is>
          <t>P1</t>
        </is>
      </c>
      <c r="C13" s="5" t="inlineStr">
        <is>
          <t>Pilot: 30 people, Wed 28 and Sat 31 Oct. Before the fixes.</t>
        </is>
      </c>
    </row>
    <row r="14" ht="18" customHeight="1">
      <c r="B14" s="4" t="inlineStr">
        <is>
          <t>T1</t>
        </is>
      </c>
      <c r="C14" s="5" t="inlineStr">
        <is>
          <t>Whole town: 200 people, Wed 28, Sat 31 Oct and Sun 1 Nov. Before the fixes.</t>
        </is>
      </c>
    </row>
    <row r="15" ht="18" customHeight="1">
      <c r="B15" s="4" t="inlineStr">
        <is>
          <t>P2</t>
        </is>
      </c>
      <c r="C15" s="5" t="inlineStr">
        <is>
          <t>Pilot again: the same 30 people and days, after the fixes.</t>
        </is>
      </c>
    </row>
    <row r="16" ht="18" customHeight="1">
      <c r="B16" s="4" t="inlineStr">
        <is>
          <t>T2</t>
        </is>
      </c>
      <c r="C16" s="5" t="inlineStr">
        <is>
          <t>Whole town again: Sat 31 Oct, after the fixes.</t>
        </is>
      </c>
    </row>
    <row r="17" ht="26" customHeight="1">
      <c r="B17" s="3" t="inlineStr">
        <is>
          <t>Claude's read</t>
        </is>
      </c>
    </row>
    <row r="18" ht="18" customHeight="1">
      <c r="B18" s="6" t="inlineStr">
        <is>
          <t>Good</t>
        </is>
      </c>
      <c r="C18" s="5" t="inlineStr">
        <is>
          <t>Fits well: the people are into the activity and nothing argues against it.</t>
        </is>
      </c>
    </row>
    <row r="19" ht="18" customHeight="1">
      <c r="B19" s="7" t="inlineStr">
        <is>
          <t>OK</t>
        </is>
      </c>
      <c r="C19" s="5" t="inlineStr">
        <is>
          <t>Works, with something to look at (a side-interest member, a big age gap, a group of two).</t>
        </is>
      </c>
    </row>
    <row r="20" ht="18" customHeight="1">
      <c r="B20" s="8" t="inlineStr">
        <is>
          <t>Weak</t>
        </is>
      </c>
      <c r="C20" s="5" t="inlineStr">
        <is>
          <t>A real problem: someone locked into something they avoid, or nobody really into the activity.</t>
        </is>
      </c>
    </row>
    <row r="21" ht="34" customHeight="1">
      <c r="B21" s="4" t="inlineStr">
        <is>
          <t>Read by</t>
        </is>
      </c>
      <c r="C21" s="5" t="inlineStr">
        <is>
          <t>Fable 5.1 audit: an independent AI model that took no part in the runs read the logs for this group (25 groups). Rules (no AI call): for the other 42 groups, Claude wrote rules from the recorded data.</t>
        </is>
      </c>
    </row>
    <row r="22" ht="50" customHeight="1">
      <c r="B22" s="4" t="inlineStr">
        <is>
          <t>How far to trust the rules</t>
        </is>
      </c>
      <c r="C22" s="5" t="inlineStr">
        <is>
          <t>On the 25 groups both read, the rules agree with Fable 10 times. They are stricter: 12 groups Fable called Good, the rules call OK (usually a side-interest member or a group of two). Treat a rules read as a flag to look at, not a verdict.</t>
        </is>
      </c>
    </row>
    <row r="23" ht="34" customHeight="1">
      <c r="B23" s="4" t="inlineStr">
        <is>
          <t>'Main activity'</t>
        </is>
      </c>
      <c r="C23" s="5" t="inlineStr">
        <is>
          <t>The activity's first tag in the catalog. A few are debatable (the Ten Trails walk lists dog walks first), so judge those yourself.</t>
        </is>
      </c>
    </row>
    <row r="24" ht="26" customHeight="1">
      <c r="B24" s="3" t="inlineStr">
        <is>
          <t>Good to know</t>
        </is>
      </c>
    </row>
    <row r="25" ht="34" customHeight="1">
      <c r="B25" s="4" t="inlineStr">
        <is>
          <t>Where facts come from</t>
        </is>
      </c>
      <c r="C25" s="5" t="inlineStr">
        <is>
          <t>Every word is from the run folders in simulation_results/. The matchmaker's reason, the agents' answers and the final messages are verbatim.</t>
        </is>
      </c>
    </row>
    <row r="26" ht="34" customHeight="1">
      <c r="B26" s="4" t="inlineStr">
        <is>
          <t>[side interest]</t>
        </is>
      </c>
      <c r="C26" s="5" t="inlineStr">
        <is>
          <t>This person is in the group through one of the activity's other tags (say the beer at a trivia night), not the main activity.</t>
        </is>
      </c>
    </row>
    <row r="27" ht="18" customHeight="1">
      <c r="B27" s="4" t="inlineStr">
        <is>
          <t>Long cells</t>
        </is>
      </c>
      <c r="C27" s="5" t="inlineStr">
        <is>
          <t>If a cell's text is cut off (a few final-message cells are long), click the cell to read all of it.</t>
        </is>
      </c>
    </row>
    <row r="28" ht="34" customHeight="1">
      <c r="B28" s="4" t="inlineStr">
        <is>
          <t>Events</t>
        </is>
      </c>
      <c r="C28" s="5" t="inlineStr">
        <is>
          <t>Numbers like #560 point to that run's full_transcript.txt and full_simulation.jsonl, which keep every prompt and reply verbatim.</t>
        </is>
      </c>
    </row>
    <row r="29" ht="26" customHeight="1">
      <c r="B29" s="3" t="inlineStr">
        <is>
          <t>Example</t>
        </is>
      </c>
    </row>
    <row r="30" ht="18" customHeight="1">
      <c r="B30" s="4" t="inlineStr">
        <is>
          <t>Your verdict</t>
        </is>
      </c>
      <c r="C30" s="9" t="inlineStr">
        <is>
          <t>Bad</t>
        </is>
      </c>
    </row>
    <row r="31" ht="18" customHeight="1">
      <c r="B31" s="4" t="inlineStr">
        <is>
          <t>Your notes</t>
        </is>
      </c>
      <c r="C31" s="9" t="inlineStr">
        <is>
          <t>Ava and Nikhil avoid late nights but were locked into a 9:30pm game.   (match T1 2026-10-31/g1)</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R68"/>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5" customWidth="1" min="3" max="3"/>
    <col width="24" customWidth="1" min="4" max="4"/>
    <col width="40" customWidth="1" min="5" max="5"/>
    <col width="34" customWidth="1" min="6" max="6"/>
    <col width="26" customWidth="1" min="7" max="7"/>
    <col width="58" customWidth="1" min="8" max="8"/>
    <col width="30" customWidth="1" min="9" max="9"/>
    <col width="30" customWidth="1" min="10" max="10"/>
    <col width="10" customWidth="1" min="11" max="11"/>
    <col width="46" customWidth="1" min="12" max="12"/>
    <col width="12" customWidth="1" min="13" max="13"/>
    <col width="12" customWidth="1" min="14" max="14"/>
    <col width="34" customWidth="1" min="15" max="15"/>
    <col width="60" customWidth="1" min="16" max="16"/>
    <col width="22" customWidth="1" min="17" max="17"/>
    <col width="26" customWidth="1" min="18" max="18"/>
  </cols>
  <sheetData>
    <row r="1" ht="32" customHeight="1">
      <c r="A1" s="10" t="inlineStr">
        <is>
          <t>#</t>
        </is>
      </c>
      <c r="B1" s="10" t="inlineStr">
        <is>
          <t>Run</t>
        </is>
      </c>
      <c r="C1" s="10" t="inlineStr">
        <is>
          <t>When</t>
        </is>
      </c>
      <c r="D1" s="10" t="inlineStr">
        <is>
          <t>Activity</t>
        </is>
      </c>
      <c r="E1" s="10" t="inlineStr">
        <is>
          <t>Who (age, what they like about it)</t>
        </is>
      </c>
      <c r="F1" s="10" t="inlineStr">
        <is>
          <t>The matchmaker's reason (verbatim)</t>
        </is>
      </c>
      <c r="G1" s="10" t="inlineStr">
        <is>
          <t>How it was decided</t>
        </is>
      </c>
      <c r="H1" s="10" t="inlineStr">
        <is>
          <t>Each agent's answer and reason (verbatim)</t>
        </is>
      </c>
      <c r="I1" s="10" t="inlineStr">
        <is>
          <t>Rule checks</t>
        </is>
      </c>
      <c r="J1" s="10" t="inlineStr">
        <is>
          <t>What they share</t>
        </is>
      </c>
      <c r="K1" s="10" t="inlineStr">
        <is>
          <t>Claude's read</t>
        </is>
      </c>
      <c r="L1" s="10" t="inlineStr">
        <is>
          <t>Claude's reason</t>
        </is>
      </c>
      <c r="M1" s="10" t="inlineStr">
        <is>
          <t>Read by</t>
        </is>
      </c>
      <c r="N1" s="10" t="inlineStr">
        <is>
          <t>Your verdict</t>
        </is>
      </c>
      <c r="O1" s="10" t="inlineStr">
        <is>
          <t>Your notes</t>
        </is>
      </c>
      <c r="P1" s="10" t="inlineStr">
        <is>
          <t>Final messages sent (verbatim)</t>
        </is>
      </c>
      <c r="Q1" s="10" t="inlineStr">
        <is>
          <t>Match ID</t>
        </is>
      </c>
      <c r="R1" s="10" t="inlineStr">
        <is>
          <t>Events</t>
        </is>
      </c>
    </row>
    <row r="2" ht="139" customHeight="1">
      <c r="A2" s="11" t="n">
        <v>1</v>
      </c>
      <c r="B2" s="11" t="inlineStr">
        <is>
          <t>S
before fixes</t>
        </is>
      </c>
      <c r="C2" s="12" t="inlineStr">
        <is>
          <t>Sat 31 Oct
morning, 9am-12pm</t>
        </is>
      </c>
      <c r="D2" s="13" t="inlineStr">
        <is>
          <t>Green River Gorge hike
Green River Gorge Conservation Area
free, 2 people</t>
        </is>
      </c>
      <c r="E2" s="12" t="inlineStr">
        <is>
          <t>Wei, 43, parent at home: likes hiking, loves photography
Susan, 54, remote worker: loves hiking, likes photography</t>
        </is>
      </c>
      <c r="F2" s="12" t="inlineStr">
        <is>
          <t>Two keen hikers in their 40s and 50s who both love photography, on the most photogenic trail around.</t>
        </is>
      </c>
      <c r="G2" s="12" t="inlineStr">
        <is>
          <t>Asked 2 times: 2 yes, 0 no, 0 counter.
Locked by code with 2 yes (needs 2+).</t>
        </is>
      </c>
      <c r="H2" s="12" t="inlineStr">
        <is>
          <t>Wei (round 1): YES
  This sounds great - Saturday morning works perfectly, Wei loves hiking and photography, it's free, and a small group with a fellow photography enthusiast is just the right vibe. Count Wei in!
Susan (round 1): YES
  Susan's free Saturday morning and loves hiking plus photography - this gorge hike with fall colors sounds perfect, and it's free. Count her in!</t>
        </is>
      </c>
      <c r="I2" s="12" t="inlineStr">
        <is>
          <t>None: every rule held.</t>
        </is>
      </c>
      <c r="J2" s="12" t="inlineStr">
        <is>
          <t>farmers market (Wei, Wei); hiking (Wei, Susan); photography (Wei, Susan)</t>
        </is>
      </c>
      <c r="K2" s="11" t="inlineStr">
        <is>
          <t>Good</t>
        </is>
      </c>
      <c r="L2" s="12" t="inlineStr">
        <is>
          <t>A clean two-person pairing: Wei and Susan both have hiking and photography near the top of their profiles, are both free Saturday morning, and the free cost satisfies both budgets. Both agents said yes with reasons that match their profiles, the matchmaker needed no alternates, and the final messages name only the two attendees and use only profile facts. The only quibble is mild overstatement of 'love' versus 'really likes' in some messages.</t>
        </is>
      </c>
      <c r="M2" s="14" t="inlineStr">
        <is>
          <t>Fable 5.1 audit</t>
        </is>
      </c>
      <c r="N2" s="15" t="n"/>
      <c r="O2" s="16" t="n"/>
      <c r="P2" s="17" t="inlineStr">
        <is>
          <t>Headline: Two trail-loving neighbors are set for the Green River Gorge
Wei: Wei, your small group hike at Green River Gorge Conservation Area is confirmed for Saturday 31 Oct, 9am-12pm. You'll be joined by Susan, a fellow hiking and photography lover, so expect some good stops along the way to snap the gorge views. Low-key and no crowds, just like you like it.
Susan: Susan, you're confirmed for the Green River Gorge hike this Saturday 31 Oct, 9am-12pm at the Green River Gorge Conservation Area. You'll be hiking with Wei, who shares your love of hiking and photography, so bring your camera for the overlooks. Should be a nice, easy-paced morning out on the trail.</t>
        </is>
      </c>
      <c r="Q2" s="14" t="inlineStr">
        <is>
          <t>S 2026-10-31/g1</t>
        </is>
      </c>
      <c r="R2" s="14" t="inlineStr">
        <is>
          <t>proposed #17, plan #12, locked #65, messages #68</t>
        </is>
      </c>
    </row>
    <row r="3" ht="124" customHeight="1">
      <c r="A3" s="11" t="n">
        <v>2</v>
      </c>
      <c r="B3" s="11" t="inlineStr">
        <is>
          <t>S
before fixes</t>
        </is>
      </c>
      <c r="C3" s="12" t="inlineStr">
        <is>
          <t>Sat 31 Oct
afternoon, 1pm-4pm</t>
        </is>
      </c>
      <c r="D3" s="13" t="inlineStr">
        <is>
          <t>Franklin ghost town hike
Franklin ghost town trail, Green River Gorge Rd
free, 2 people</t>
        </is>
      </c>
      <c r="E3" s="12" t="inlineStr">
        <is>
          <t>Imani, 52, remote worker: likes hiking, loves history
Carlos, 61, retiree: likes history, loves hiking</t>
        </is>
      </c>
      <c r="F3" s="12" t="inlineStr">
        <is>
          <t>Two Morgan Creek history buffs who love hiking, exploring an old coal-mining ghost town together.</t>
        </is>
      </c>
      <c r="G3" s="12" t="inlineStr">
        <is>
          <t>Asked 2 times: 2 yes, 0 no, 0 counter.
Locked by code with 2 yes (needs 2+).</t>
        </is>
      </c>
      <c r="H3" s="12" t="inlineStr">
        <is>
          <t>Imani (round 1): YES
  This is a great fit—Imani loves hiking and history, it's free, Saturday afternoon is open, and a small neighbor group sounds low-key and not loud. Count her in!
Carlos (round 1): YES
  Carlos would love this — hiking, history, and a ghost town ruin all in one, during his free Saturday afternoon. Count him in!</t>
        </is>
      </c>
      <c r="I3" s="12" t="inlineStr">
        <is>
          <t>None: every rule held.</t>
        </is>
      </c>
      <c r="J3" s="12" t="inlineStr">
        <is>
          <t>hiking (Imani, Carlos); history (Imani, Carlos)</t>
        </is>
      </c>
      <c r="K3" s="11" t="inlineStr">
        <is>
          <t>Good</t>
        </is>
      </c>
      <c r="L3" s="12" t="inlineStr">
        <is>
          <t>A clean two-person match: both members are Morgan Creek residents who rank history and hiking among their top interests, both avoid loud places, both are free Saturday afternoon, and the free cost respects Imani's budget. Both agents accepted on grounds that match their profiles, the matchmaker's messages were accurate and named only the two attendees, and the group locked in a single round without waste.</t>
        </is>
      </c>
      <c r="M3" s="14" t="inlineStr">
        <is>
          <t>Fable 5.1 audit</t>
        </is>
      </c>
      <c r="N3" s="15" t="n"/>
      <c r="O3" s="16" t="n"/>
      <c r="P3" s="17" t="inlineStr">
        <is>
          <t>Headline: A ghost town walk through Franklin's history, Halloween weekend
Imani: Imani, you're set for the Franklin ghost town hike on Saturday 31 Oct, 1-4pm, along Green River Gorge Rd. You'll be walking with Carlos, a fellow Morgan Creek local — with your shared love of history, this old townsite will give you plenty to explore together.
Carlos: Carlos, your small group for the Franklin ghost town hike is confirmed: Saturday 31 Oct, 1-4pm at Green River Gorge Rd. You're joined by Imani, another Morgan Creek resident who loves hiking and history just as much as you do, so the ghost town's backstory should make for great conversation on the trail.</t>
        </is>
      </c>
      <c r="Q3" s="14" t="inlineStr">
        <is>
          <t>S 2026-10-31/g2</t>
        </is>
      </c>
      <c r="R3" s="14" t="inlineStr">
        <is>
          <t>proposed #18, plan #12, locked #66, messages #70</t>
        </is>
      </c>
    </row>
    <row r="4" ht="259" customHeight="1">
      <c r="A4" s="11" t="n">
        <v>3</v>
      </c>
      <c r="B4" s="11" t="inlineStr">
        <is>
          <t>S
before fixes</t>
        </is>
      </c>
      <c r="C4" s="12" t="inlineStr">
        <is>
          <t>Sat 31 Oct
evening, 7pm-9:30pm</t>
        </is>
      </c>
      <c r="D4" s="13" t="inlineStr">
        <is>
          <t>Kraken hockey night
Black Diamond Grill
low cost, 3 people</t>
        </is>
      </c>
      <c r="E4" s="12" t="inlineStr">
        <is>
          <t>Cody, 25, commuter: loves dining, loves watch sports
Rosa, 43, commuter: loves craft beer, loves watch sports
Kevin, 61, commuter: likes watch sports, loves craft beer</t>
        </is>
      </c>
      <c r="F4" s="12" t="inlineStr">
        <is>
          <t>Four big sports fans who also share a taste for good food and craft beer, watching the Kraken together.</t>
        </is>
      </c>
      <c r="G4" s="12" t="inlineStr">
        <is>
          <t>Asked 4 times: 3 yes, 1 no, 0 counter.
Locked by code with 3 yes (needs 2+).</t>
        </is>
      </c>
      <c r="H4" s="12" t="inlineStr">
        <is>
          <t>Cody (round 1): YES
  Cody's free Saturday evening and loves watch sports plus dining, so Kraken hockey night at Black Diamond Grill is a great fit. Count him in!
Rosa (round 1): YES
  Rosa's free Saturday evening and this is right up her alley—watching sports with craft beer and meeting neighbors sounds great. She's in!
Olivia (round 1): NO
  Olivia's free Saturday evening, but watching a competitive sports game isn't her thing—she avoids competitive settings and this isn't really aligned with her interests in craft beer, running, dining, or volunteering. Thanks for thinking of her though!
Kevin (round 1): YES
  Kevin's free Saturday evening and loves watching sports with craft beer on hand — count him in for Kraken hockey night at Black Diamond Grill, low cost and small group works great for him.</t>
        </is>
      </c>
      <c r="I4" s="12" t="inlineStr">
        <is>
          <t>None: every rule held.</t>
        </is>
      </c>
      <c r="J4" s="12" t="inlineStr">
        <is>
          <t>golf (Cody, Rosa, Kevin); watch sports (Cody, Rosa, Kevin); hiking (Cody, Rosa); craft beer (Rosa, Kevin)</t>
        </is>
      </c>
      <c r="K4" s="11" t="inlineStr">
        <is>
          <t>OK</t>
        </is>
      </c>
      <c r="L4" s="12" t="inlineStr">
        <is>
          <t>The final trio (Cody, Rosa, Kevin) is a sound sports-and-beer group that locked at the proposed time with no counters or re-asks. The main weakness is the matchmaker's original framing of 'four big sports fans' when Olivia's profile has no sports-watching interest at all and she avoids competitive settings, making her decline predictable and the ask somewhat wasted. Final messages are mostly accurate but lean on small overstatements of interest levels.</t>
        </is>
      </c>
      <c r="M4" s="14" t="inlineStr">
        <is>
          <t>Fable 5.1 audit</t>
        </is>
      </c>
      <c r="N4" s="15" t="n"/>
      <c r="O4" s="16" t="n"/>
      <c r="P4" s="17" t="inlineStr">
        <is>
          <t>Headline: Three Black Diamond regulars are catching the Kraken game together
Cody: Cody, you're set for Kraken hockey night at Black Diamond Grill this Saturday, Oct 31, 7-9:30pm. You'll be with Rosa and Kevin, and with all three of you loving to watch sports, this should be an easy one to settle into over a beer and some good plays.
Rosa: Rosa, your Kraken hockey night at Black Diamond Grill is locked in for Saturday, Oct 31, 7-9:30pm, alongside Cody and Kevin. Between your craft beer love and their shared passion for watching sports, you'll have plenty to talk about between periods.
Kevin: Kevin, you're joining Cody and Rosa for Kraken hockey night at Black Diamond Grill this Saturday, Oct 31, from 7-9:30pm. You all love watching sports and golf, so expect some good game talk and maybe a few course stories mixed in with the hockey.</t>
        </is>
      </c>
      <c r="Q4" s="14" t="inlineStr">
        <is>
          <t>S 2026-10-31/g3</t>
        </is>
      </c>
      <c r="R4" s="14" t="inlineStr">
        <is>
          <t>proposed #19, plan #12, locked #67, messages #72</t>
        </is>
      </c>
    </row>
    <row r="5" ht="409" customHeight="1">
      <c r="A5" s="18" t="n">
        <v>4</v>
      </c>
      <c r="B5" s="18" t="inlineStr">
        <is>
          <t>P1
before fixes</t>
        </is>
      </c>
      <c r="C5" s="19" t="inlineStr">
        <is>
          <t>Wed 28 Oct
evening, 5:30pm-7pm</t>
        </is>
      </c>
      <c r="D5" s="20" t="inlineStr">
        <is>
          <t>Pickleball doubles
public courts in Maple Valley
free, 4 people</t>
        </is>
      </c>
      <c r="E5" s="19" t="inlineStr">
        <is>
          <t>Andres, 64, commuter: loves pickleball
Quinn, 49, commuter: loves pickleball
Kevin, 30, commuter: loves pickleball
Heather, 31, commuter: loves pickleball</t>
        </is>
      </c>
      <c r="F5" s="19" t="inlineStr">
        <is>
          <t>Exactly four pickleball lovers for a doubles rotation, and several of them also share live music and baseball.</t>
        </is>
      </c>
      <c r="G5" s="19" t="inlineStr">
        <is>
          <t>Asked 8 times: 8 yes, 0 no, 0 counter.
Locked by code with 4 yes (needs 2+).</t>
        </is>
      </c>
      <c r="H5" s="19" t="inlineStr">
        <is>
          <t>Andres (round 1): YES
  Andres is free Wednesday evening and loves pickleball—count him in for doubles at Maple Valley, 5:30-7pm!
Andres (round 2): YES
  Andres is free Wednesday evening and loves pickleball - he's happy to join Quinn, Kevin and Heather at 5:30pm in Maple Valley.
Quinn (round 1): YES
  Quinn's free Wednesday evening and loves pickleball—free doubles at Maple Valley works great, especially with some baseball chat thrown in. Count Quinn in!
Quinn (round 2): YES
  Quinn's in for pickleball doubles Wed 28 Oct, 5:30-7pm at Maple Valley courts — free, matches his evening availability, and pickleball's his favorite. See you there!
Kevin (round 1): YES
  Wednesday 5:30-7pm pickleball at Maple Valley courts works great for Kevin—free, fits his free evening, and pickleball's one of his favorites. Count him in!
Kevin (round 2): YES
  Kevin's free Wednesday evening and loves pickleball - free doubles at Maple Valley courts 5:30-7pm works great, he's in!
Heather (round 1): YES
  Heather's free Wednesday evening and pickleball is her favorite—free courts in Maple Valley with a full four works great. She's in!
Heather (round 2): YES
  Wednesday evening works great for Heather — she's free then, loves pickleball, and free at public courts fits her budget perfectly. Confirmed!</t>
        </is>
      </c>
      <c r="I5" s="19" t="inlineStr">
        <is>
          <t>• Low: In round 2 the hub asked 4 people in 2026-10-28/g1 (e081, e043, e078, e167) again although they had said yes and the time hadn't changed.</t>
        </is>
      </c>
      <c r="J5" s="19" t="inlineStr">
        <is>
          <t>live music (Andres, Kevin, Heather); dining (Andres, Kevin); hiking (Andres, Heather); pickleball (Andres, Quinn, Kevin, Heather); running (Quinn, Kevin, Heather); baseball (Quinn, Kevin)</t>
        </is>
      </c>
      <c r="K5" s="18" t="inlineStr">
        <is>
          <t>OK</t>
        </is>
      </c>
      <c r="L5" s="19" t="inlineStr">
        <is>
          <t>Four pickleball lovers, all free Wednesday evening, all within budget for a free event, were proposed, said yes twice and were locked without any conflict. The matchmaking logic was sound and the agents followed their profiles. The main flaws are in the final wrap-up: one message credits Quinn with a love of live music that his profile does not contain, the headline names Black Diamond while the courts are in Maple Valley, and one early pitch overstated how many baseball fans were in the group.</t>
        </is>
      </c>
      <c r="M5" s="21" t="inlineStr">
        <is>
          <t>Fable 5.1 audit</t>
        </is>
      </c>
      <c r="N5" s="15" t="n"/>
      <c r="O5" s="16" t="n"/>
      <c r="P5" s="22" t="inlineStr">
        <is>
          <t>Headline: Pickleball doubles is set for Wednesday in Black Diamond!
Andres: Andres, your pickleball doubles match is confirmed for Wednesday 10/28, 5:30-7pm at the public courts in Maple Valley. You'll be playing with Quinn, Kevin, and Heather — Kevin and Quinn both share your love of live music and the game itself, so expect good energy on the court.
Quinn: Quinn, you're set for pickleball doubles this Wednesday 10/28, 5:30-7pm at the Maple Valley public courts, teaming up with Andres, Kevin, and Heather. Kevin's right there with you on running and pickleball, so you two should click fast on court chemistry.
Kevin: Kevin, your doubles match is locked in for Wednesday 10/28, 5:30-7pm at the public courts in Maple Valley, alongside Andres, Quinn, and Heather. You and Quinn both love running and pickleball, and Andres and Heather share your appreciation for live music, so there's plenty to talk about between games.
Heather: Heather, you're confirmed for pickleball doubles Wednesday 10/28, 5:30-7pm at the Maple Valley public courts, playing with Andres, Quinn, and Kevin. Andres shares your love of hiking and live music, so you two will have easy conversation starters before the first serve.</t>
        </is>
      </c>
      <c r="Q5" s="21" t="inlineStr">
        <is>
          <t>P1 2026-10-28/g1</t>
        </is>
      </c>
      <c r="R5" s="21" t="inlineStr">
        <is>
          <t>proposed #42, plan #34, locked #320, messages #326</t>
        </is>
      </c>
    </row>
    <row r="6" ht="409" customHeight="1">
      <c r="A6" s="18" t="n">
        <v>5</v>
      </c>
      <c r="B6" s="18" t="inlineStr">
        <is>
          <t>P1
before fixes</t>
        </is>
      </c>
      <c r="C6" s="19" t="inlineStr">
        <is>
          <t>Wed 28 Oct
evening, 7pm-9pm</t>
        </is>
      </c>
      <c r="D6" s="20" t="inlineStr">
        <is>
          <t>Trivia night as one team
a Black Diamond taproom
low cost, 5 people</t>
        </is>
      </c>
      <c r="E6" s="19" t="inlineStr">
        <is>
          <t>Rachel, 29, commuter: loves craft beer [side interest]
Lauren, 28, remote worker: loves craft beer [side interest]
Rohan, 60, commuter: loves craft beer [side interest]
Kavya, 25, commuter: loves trivia
Rosa, 43, commuter: loves craft beer [side interest]</t>
        </is>
      </c>
      <c r="F6" s="19" t="inlineStr">
        <is>
          <t>Five trivia-keen neighbors, most of them craft-beer fans, make a well-sized single team.</t>
        </is>
      </c>
      <c r="G6" s="19" t="inlineStr">
        <is>
          <t>Asked 10 times: 10 yes, 0 no, 0 counter.
Locked by code with 5 yes (needs 2+).</t>
        </is>
      </c>
      <c r="H6" s="19" t="inlineStr">
        <is>
          <t>Rachel (round 1): YES
  A taproom trivia night on Wednesday evening works great for Rachel — she loves craft beer and the timing fits her free evening perfectly. Count her in!
Rachel (round 2): YES
  Wednesday evening works great for Rachel, and a taproom setting fits her love of craft beer—she's happy to join the trivia team with Lauren, Rohan, Kavya and Rosa.
Lauren (round 1): YES
  Wednesday evening works great for Lauren—craft beer and a relaxed trivia night with neighbors sounds like a fun, low-cost time. Count her in!
Lauren (round 2): YES
  Lauren's free Wednesday evening and a taproom trivia night fits her craft beer love and low-cost budget perfectly—she's in!
Rohan (round 1): YES
  Wednesday evening works great for Rohan, and a taproom with craft beer and neighbors sounds like a fun time — he's in.
Rohan (round 2): YES
  Wednesday evening works great for Rohan, and a taproom trivia night pairs nicely with his love of craft beer — he's in!
Kavya (round 1): YES
  Trivia night fits perfectly - Wednesday evening is free, low cost works for the budget, and trivia is one of Kavya's favorites. Count Kavya in!
Kavya (round 2): YES
  Trivia night fits perfectly - Kavya loves trivia, Wednesday evening is free, and a low-cost taproom works for the budget. Count her in!
Rosa (round 1): YES
  Rosa's free Wednesday evening and this fits perfectly — craft beer, low cost, and a sports round with fellow fans? She's in!
Rosa (round 2): YES
  Rosa's free Wednesday evening and loves a taproom setting with craft beer around - trivia night with the group sounds great, count her in!</t>
        </is>
      </c>
      <c r="I6" s="19" t="inlineStr">
        <is>
          <t>• Low: In round 2 the hub asked 5 people in 2026-10-28/g2 (e123, e049, e074, e170, e075) again although they had said yes and the time hadn't changed.</t>
        </is>
      </c>
      <c r="J6" s="19" t="inlineStr">
        <is>
          <t>dining (Rachel, Rohan); craft beer (Rachel, Lauren, Rohan, Rosa); running (Rachel, Lauren, Kavya); live music (Rachel, Kavya); yoga (Lauren, Rosa); volunteering (Lauren, Kavya); golf (Rohan, Rosa); hiking (Kavya, Rosa)</t>
        </is>
      </c>
      <c r="K6" s="18" t="inlineStr">
        <is>
          <t>OK</t>
        </is>
      </c>
      <c r="L6" s="19" t="inlineStr">
        <is>
          <t>All five said yes and the group locked cleanly at the original time with accurate, correctly-addressed final messages. The group hangs together on craft beer and the evening slot rather than on trivia: only Kavya's profile mentions trivia, so the matchmaker's stated rationale ('five trivia-keen neighbors') is not supported by the profiles, and one invite leaned on a 'sports fans' claim the profiles don't back.</t>
        </is>
      </c>
      <c r="M6" s="21" t="inlineStr">
        <is>
          <t>Fable 5.1 audit</t>
        </is>
      </c>
      <c r="N6" s="15" t="n"/>
      <c r="O6" s="16" t="n"/>
      <c r="P6" s="22" t="inlineStr">
        <is>
          <t>Headline: Trivia night at the taproom – your team is set for Wed Oct 28
Rachel: Rachel, your trivia team is locked in for Wednesday 28 Oct, 7-9pm at a Black Diamond taproom. You'll be with Lauren, Rohan, Kavya, and Rosa — with Lauren, Rohan, and Rosa you've already got craft beer love in common, so the pitchers should go over well between rounds.
Lauren: Lauren, you're set for trivia night this Wednesday 28 Oct, 7-9pm at a Black Diamond taproom with Rachel, Rohan, Kavya, and Rosa. You and Rachel, Rohan, and Rosa all love craft beer, so expect some good debate over what to order.
Rohan: Rohan, your team for Wednesday 28 Oct's trivia night (7-9pm, Black Diamond taproom) includes Rachel, Lauren, Kavya, and Rosa. You, Rachel, Lauren, and Rosa all love craft beer, so the drink order should be an easy consensus.
Kavya: Kavya, you're teamed up for trivia night Wednesday 28 Oct, 7-9pm at a Black Diamond taproom with Rachel, Lauren, Rohan, and Rosa. You're the one who actually loves trivia on your profile, so lean on you for the tiebreakers.
Rosa: Rosa, your trivia team is confirmed for Wednesday 28 Oct, 7-9pm at a Black Diamond taproom — joining you are Rachel, Lauren, Rohan, and Kavya. You share a love of craft beer with Rachel, Lauren, and Rohan, so there's a solid baseline for team bonding before the questions start.</t>
        </is>
      </c>
      <c r="Q6" s="21" t="inlineStr">
        <is>
          <t>P1 2026-10-28/g2</t>
        </is>
      </c>
      <c r="R6" s="21" t="inlineStr">
        <is>
          <t>proposed #43, plan #34, locked #321, messages #328</t>
        </is>
      </c>
    </row>
    <row r="7" ht="349" customHeight="1">
      <c r="A7" s="18" t="n">
        <v>6</v>
      </c>
      <c r="B7" s="18" t="inlineStr">
        <is>
          <t>P1
before fixes</t>
        </is>
      </c>
      <c r="C7" s="19" t="inlineStr">
        <is>
          <t>Wed 28 Oct
evening, 5:30pm-6:45pm</t>
        </is>
      </c>
      <c r="D7" s="20" t="inlineStr">
        <is>
          <t>Evening walk on the Ten Trails paths
Ten Trails trail network
free, 3 people</t>
        </is>
      </c>
      <c r="E7" s="19" t="inlineStr">
        <is>
          <t>Isabel, 23, commuter: loves running, likes hiking, loves dog walks
Dylan, 58, commuter: loves running, loves hiking [side interest]
Donna, 61, remote worker: likes running, likes dog walks</t>
        </is>
      </c>
      <c r="F7" s="19" t="inlineStr">
        <is>
          <t>Three runners who also love hiking or dog walks make an easy, chatty evening walk.</t>
        </is>
      </c>
      <c r="G7" s="19" t="inlineStr">
        <is>
          <t>Asked 6 times: 6 yes, 0 no, 0 counter.
Locked by code with 3 yes (needs 2+).</t>
        </is>
      </c>
      <c r="H7" s="19" t="inlineStr">
        <is>
          <t>Isabel (round 1): YES
  Wednesday evening works great for Isabel — a free group walk with fellow runners fits her schedule and interests perfectly. She's in!
Isabel (round 2): YES
  Wednesday evening works great for Isabel — a free walk on the Ten Trails paths fits her free schedule, is cost-free, and a small casual group (not a crowd) suits her. She's in!
Dylan (round 1): YES
  Wednesday evening works great for Dylan - free time, local trails, and a walk with runners fits his love of running and hiking. He'll bring the camera too. Count him in!
Dylan (round 2): YES
  This works well for Dylan — free Wednesday evening, a walk fits his love of hiking/outdoors, and it's free. He's happy to join Isabel and Donna.
Donna (round 1): YES
  Donna's free Wednesday evening and loves dog walks/trails—small group of neighbors sounds great, not a crowd. She's in for the Ten Trails walk, 5:30-6:45pm.
Donna (round 2): YES
  Wednesday evening works great for Donna—an evening walk on the Ten Trails paths with a small group fits her free time and love of outdoor activity. She's in.</t>
        </is>
      </c>
      <c r="I7" s="19" t="inlineStr">
        <is>
          <t>• Low: In round 2 the hub asked 3 people in 2026-10-28/g3 (e082, e046, e067) again although they had said yes and the time hadn't changed.</t>
        </is>
      </c>
      <c r="J7" s="19" t="inlineStr">
        <is>
          <t>running (Isabel, Dylan, Donna); hiking (Isabel, Dylan); craft beer (Isabel, Donna); dog walks (Isabel, Donna)</t>
        </is>
      </c>
      <c r="K7" s="18" t="inlineStr">
        <is>
          <t>Good</t>
        </is>
      </c>
      <c r="L7" s="19" t="inlineStr">
        <is>
          <t>A free evening walk for three runners who also enjoy hiking or dog walks, all free Wednesday evening, with two crowd-avoiders well served by a group of three. All three agents said yes for reasons grounded in their profiles, the matchmaker's outreach and final messages were accurate apart from slightly inflating 'really likes' to 'loves', and the group locked cleanly. The only quality wrinkle (re-asking unchanged yeses) was already flagged by code.</t>
        </is>
      </c>
      <c r="M7" s="21" t="inlineStr">
        <is>
          <t>Fable 5.1 audit</t>
        </is>
      </c>
      <c r="N7" s="15" t="n"/>
      <c r="O7" s="16" t="n"/>
      <c r="P7" s="22" t="inlineStr">
        <is>
          <t>Headline: Three runners, one evening walk on Ten Trails
Isabel: Hi Isabel, your Wednesday Oct 28 walk (5:30-6:45pm) on the Ten Trails paths is set with Dylan and Donna. You and Dylan both love running and hiking, so the trail chat should flow easily, and Donna's a fellow dog-walk enthusiast too.
Dylan: Hi Dylan, you're confirmed for the evening walk at Ten Trails this Wednesday Oct 28, 5:30-6:45pm, alongside Isabel and Donna. Isabel shares your love of running and hiking, so expect some good trail talk on this one.
Donna: Hi Donna, your group walk on the Ten Trails paths is a go for Wednesday Oct 28, 5:30-6:45pm, with Isabel and Dylan. You and Isabel both love dog walks, and all three of you share a love of running, so this should be an easy, friendly group.</t>
        </is>
      </c>
      <c r="Q7" s="21" t="inlineStr">
        <is>
          <t>P1 2026-10-28/g3</t>
        </is>
      </c>
      <c r="R7" s="21" t="inlineStr">
        <is>
          <t>proposed #44, plan #34, locked #322, messages #330</t>
        </is>
      </c>
    </row>
    <row r="8" ht="409" customHeight="1">
      <c r="A8" s="18" t="n">
        <v>7</v>
      </c>
      <c r="B8" s="18" t="inlineStr">
        <is>
          <t>P1
before fixes</t>
        </is>
      </c>
      <c r="C8" s="19" t="inlineStr">
        <is>
          <t>Wed 28 Oct
morning, 10:30am-11:30am
(planned 9am-10:30am)</t>
        </is>
      </c>
      <c r="D8" s="20" t="inlineStr">
        <is>
          <t>Coffee and pastries at the Black Diamond Bakery
Black Diamond Bakery
low cost, 4 people</t>
        </is>
      </c>
      <c r="E8" s="19" t="inlineStr">
        <is>
          <t>Mark, 44, shift worker: loves coffee, likes baking
Chris, 36, parent at home: is up for coffee, loves baking
Brian, 48, parent at home: loves baking [side interest]
Imani, 40, parent at home: loves coffee</t>
        </is>
      </c>
      <c r="F8" s="19" t="inlineStr">
        <is>
          <t>Four parents with kids who love coffee and baking, meeting over pastries after school drop-off.</t>
        </is>
      </c>
      <c r="G8" s="19" t="inlineStr">
        <is>
          <t>Asked 8 times: 7 yes, 0 no, 1 counter.
Time moved from 9am-10:30am to 10:30am-11:30am.
Locked by code with 4 yes (needs 2+).</t>
        </is>
      </c>
      <c r="H8" s="19" t="inlineStr">
        <is>
          <t>Mark (round 1): YES
  This fits perfectly — Wednesday morning is free, coffee and baking are right up Mark's alley, and it's low-cost. Count him in!
Mark (round 2): YES
  10:30-11:30am Wednesday works great for Mark — coffee and pastries fits his free morning, his love of coffee, and low-cost budget. Confirmed!
Chris (round 1): COUNTER, asked for: Could we push it later in the morning, like 10:30-11:30am, since Chris avoids early starts? Or shift to Thursday morning if that's easier.
  Chris loves baking and coffee with neighbors, this sounds great! But 9am is a bit too early for him—could we start around 10:30-11am instead, or move it to Thursday morning?
Chris (round 2): YES
  10:30am Wednesday works great for Chris—coffee, pastries, and baking vibes all check out. Please confirm with the group.
Brian (round 1): YES
  Wednesday morning works great for Brian, and he loves baking, so coffee and pastries with neighbors at Black Diamond Bakery sounds perfect. He's in!
Brian (round 2): YES
  10:30-11:30am Wednesday works great for Brian — he's free that morning and loves bakery treats. Count him in!
Imani (round 1): YES
  Wednesday morning works great for Imani — coffee with neighborhood parents at a low cost fits perfectly. Count her in!
Imani (round 2): YES
  10:30-11:30am Wednesday works great for Imani — free that morning, loves coffee, and it's low-cost and local. Count her in.</t>
        </is>
      </c>
      <c r="I8" s="19" t="inlineStr">
        <is>
          <t>None: every rule held.</t>
        </is>
      </c>
      <c r="J8" s="19" t="inlineStr">
        <is>
          <t>coffee (Mark, Chris, Imani); baking (Mark, Chris, Brian); picnics (Mark, Chris); dog walks (Mark, Brian)</t>
        </is>
      </c>
      <c r="K8" s="18" t="inlineStr">
        <is>
          <t>Good</t>
        </is>
      </c>
      <c r="L8" s="19" t="inlineStr">
        <is>
          <t>Four parents with kids at home who all rate coffee or baking highly were matched for a low-cost bakery meetup; all four agents answered in line with their profiles, Chris's early-morning counter was handled cleanly by moving the slot and re-confirming the others, and the group locked with everyone's yes. The only weaknesses are small overstatements in the invites and final messages (Mark described as a parent at home and as loving baking, Imani and Brian credited with interests they don't list).</t>
        </is>
      </c>
      <c r="M8" s="21" t="inlineStr">
        <is>
          <t>Fable 5.1 audit</t>
        </is>
      </c>
      <c r="N8" s="15" t="n"/>
      <c r="O8" s="16" t="n"/>
      <c r="P8" s="22" t="inlineStr">
        <is>
          <t>Headline: Four Black Diamond parents, one pastry case, and a Wednesday morning to spare
Mark: Mark, your group is set for coffee and pastries at Black Diamond Bakery on Wednesday 28 Oct, 10:30–11:30am, with Chris, Brian, and Imani. You and Chris and Brian all love baking, so there should be plenty to swap recipes and opinions on — and like you, everyone's juggling kids at home right now.
Chris: Chris, you're confirmed for coffee and pastries at Black Diamond Bakery on Wednesday 28 Oct, 10:30–11:30am, alongside Mark, Brian, and Imani. Mark and Brian share your love of baking, so expect some good shop talk over the pastries, and all four of you are parents navigating life with kids at home.
Brian: Brian, your coffee and pastries meetup at Black Diamond Bakery is confirmed for Wednesday 28 Oct, 10:30–11:30am, with Mark, Chris, and Imani joining you. Mark and Chris both love baking as much as you do, so that's an easy place to start, and everyone at the table is currently a parent at home with kids.
Imani: Imani, you're set for coffee and pastries at Black Diamond Bakery on Wednesday 28 Oct, 10:30–11:30am, with Mark, Chris, and Brian. Coffee is a love you share with Chris, and all three of them are parents at home with kids too, so you'll have plenty in common to talk about over the table.</t>
        </is>
      </c>
      <c r="Q8" s="21" t="inlineStr">
        <is>
          <t>P1 2026-10-28/g4</t>
        </is>
      </c>
      <c r="R8" s="21" t="inlineStr">
        <is>
          <t>proposed #45, plan #34, locked #323, messages #332</t>
        </is>
      </c>
    </row>
    <row r="9" ht="319" customHeight="1">
      <c r="A9" s="18" t="n">
        <v>8</v>
      </c>
      <c r="B9" s="18" t="inlineStr">
        <is>
          <t>P1
before fixes</t>
        </is>
      </c>
      <c r="C9" s="19" t="inlineStr">
        <is>
          <t>Wed 28 Oct
morning, 8am-10am</t>
        </is>
      </c>
      <c r="D9" s="20" t="inlineStr">
        <is>
          <t>Birding walk at Lake Sawyer
Lake Sawyer Regional Park
free, 3 people</t>
        </is>
      </c>
      <c r="E9" s="19" t="inlineStr">
        <is>
          <t>Ron, 58, retiree: loves birding, likes photography
Noah, 77, retiree: loves birding
Claire, 72, retiree: likes birding</t>
        </is>
      </c>
      <c r="F9" s="19" t="inlineStr">
        <is>
          <t>Three retirees who all love birding, and enjoy fishing or cards, for a quiet lake morning.</t>
        </is>
      </c>
      <c r="G9" s="19" t="inlineStr">
        <is>
          <t>Asked 6 times: 6 yes, 0 no, 0 counter.
Locked by code with 3 yes (needs 2+).</t>
        </is>
      </c>
      <c r="H9" s="19" t="inlineStr">
        <is>
          <t>Ron (round 1): YES
  Ron's free Wednesday morning and loves birding (bonus points for bringing the camera too) — count him in for the Lake Sawyer walk!
Ron (round 2): YES
  This works great for Ron—Wednesday morning is free, birding is one of his favorite activities, and it's free of charge. He's happy to join Noah and Claire at Lake Sawyer!
Noah (round 1): YES
  This fits Noah's free Wednesday morning perfectly, and birding with fellow enthusiasts (one who fishes too) sounds great to him. Count him in!
Noah (round 2): YES
  This is a great fit—Noah loves birding and is free Wednesday morning. Please confirm him for the 8am-10am walk at Lake Sawyer with Ron and Claire.
Claire (round 1): YES
  This sounds great - Claire loves birding, it's free, and Wednesday morning works perfectly with her schedule. Count her in!
Claire (round 2): YES
  Claire's free Wednesday morning and loves birding plus it's free — this is a great fit, confirmed!</t>
        </is>
      </c>
      <c r="I9" s="19" t="inlineStr">
        <is>
          <t>• Low: In round 2 the hub asked 3 people in 2026-10-28/g5 (e038, e069, e111) again although they had said yes and the time hadn't changed.</t>
        </is>
      </c>
      <c r="J9" s="19" t="inlineStr">
        <is>
          <t>birding (Ron, Noah, Claire); cards (Ron, Claire); fishing (Noah, Claire)</t>
        </is>
      </c>
      <c r="K9" s="18" t="inlineStr">
        <is>
          <t>Good</t>
        </is>
      </c>
      <c r="L9" s="19" t="inlineStr">
        <is>
          <t>A clean, well-matched group: three retirees who all list birding among their top interests, a free morning walk that fits everyone's calendar and Claire's low-cost budget, and three straightforward yeses in round 1 followed by a lock. The matchmaker's messages used accurate profile facts and named only attendees. The only blemishes are the code-flagged redundant round-2 re-ask and a weak alternate choice that was never needed.</t>
        </is>
      </c>
      <c r="M9" s="21" t="inlineStr">
        <is>
          <t>Fable 5.1 audit</t>
        </is>
      </c>
      <c r="N9" s="15" t="n"/>
      <c r="O9" s="16" t="n"/>
      <c r="P9" s="22" t="inlineStr">
        <is>
          <t>Headline: Three retirees, one lake, and a lot of birds waiting at Lake Sawyer
Ron: Ron, your Lake Sawyer birding walk is set for Wednesday 28 Oct, 8-10am at Lake Sawyer Regional Park, alongside Noah and Claire. Claire's into cards too, so between the birds you two might already have your next game planned.
Noah: Noah, you're confirmed for the birding walk at Lake Sawyer Regional Park on Wednesday 28 Oct, 8-10am, joined by Ron and Claire. Claire's also a fishing fan, so you two should have plenty to talk about between sightings.
Claire: Claire, your group for the Lake Sawyer birding walk is set: Wednesday 28 Oct, 8-10am at Lake Sawyer Regional Park with Ron and Noah. Noah shares your love of fishing, and Ron's a fellow Black Diamond Ridge retiree who's just as into cards as you are.</t>
        </is>
      </c>
      <c r="Q9" s="21" t="inlineStr">
        <is>
          <t>P1 2026-10-28/g5</t>
        </is>
      </c>
      <c r="R9" s="21" t="inlineStr">
        <is>
          <t>proposed #46, plan #34, locked #324, messages #334</t>
        </is>
      </c>
    </row>
    <row r="10" ht="409" customHeight="1">
      <c r="A10" s="18" t="n">
        <v>9</v>
      </c>
      <c r="B10" s="18" t="inlineStr">
        <is>
          <t>P1
before fixes</t>
        </is>
      </c>
      <c r="C10" s="19" t="inlineStr">
        <is>
          <t>Wed 28 Oct
afternoon, 1pm-4pm</t>
        </is>
      </c>
      <c r="D10" s="20" t="inlineStr">
        <is>
          <t>Franklin ghost town hike
Franklin ghost town trail, Green River Gorge Rd
free, 5 people</t>
        </is>
      </c>
      <c r="E10" s="19" t="inlineStr">
        <is>
          <t>Wei, 43, parent at home: likes hiking, loves photography
Carlos, 61, retiree: likes history, loves hiking
Ryan, 78, retiree: loves history [side interest]
Grace, 42, shift worker: loves hiking
Josh, 41, shift worker: loves hiking</t>
        </is>
      </c>
      <c r="F10" s="19" t="inlineStr">
        <is>
          <t>Hikers and history lovers exploring the Franklin ghost town together, with the photography, history and outdoors talk to match.</t>
        </is>
      </c>
      <c r="G10" s="19" t="inlineStr">
        <is>
          <t>Asked 10 times: 10 yes, 0 no, 0 counter.
Locked by code with 5 yes (needs 2+).</t>
        </is>
      </c>
      <c r="H10" s="19" t="inlineStr">
        <is>
          <t>Wei (round 1): YES
  Wednesday 1-4pm works perfectly for Wei's free afternoon — hiking and photography are both loved activities, it's free, and a small group of neighbors isn't the crowded scene Wei avoids. Count Wei in!
Wei (round 2): YES
  Wednesday afternoon works great for Wei—hiking is a favorite, it's free, and a small neighbor group sounds low-key and not crowded. Count Wei in for the Franklin ghost town hike!
Carlos (round 1): YES
  Carlos is free Wednesday afternoon and this sounds perfect—hiking, history, and a small neighbor group with a fellow history buff. Count him in!
Carlos (round 2): YES
  This works well for Carlos—Wednesday afternoon is free, hiking fits his interests, and a ghost town trail has a nice historical angle too. Count him in.
Ryan (round 1): YES
  Ryan's free Wednesday afternoon and loves history, so a free ghost town hike with history-minded neighbors sounds perfect. He's in!
Ryan (round 2): YES
  Ryan's free Wednesday afternoon and loves history, so a ghost town hike with neighbors fits well—count him in.
Grace (round 1): YES
  Wednesday afternoon works great for Grace—free hike, no cost, and a group that likes sports too? Count her in!
Grace (round 2): YES
  Grace is free Wednesday afternoon and loves hiking - a free group hike fits perfectly. She's in for the Franklin ghost town hike!
Josh (round 1): YES
  Josh is free Wednesday afternoon and loves hiking, so the Franklin ghost town hike 1-4pm works great, especially free. Count him in!
Josh (round 2): YES
  Hiking Wednesday afternoon works great for Josh, he's free then and loves hiking. Free cost is a plus too — he's in!</t>
        </is>
      </c>
      <c r="I10" s="19" t="inlineStr">
        <is>
          <t>• Low: In round 2 the hub asked 5 people in 2026-10-28/g6 (e124, e143, e055, e148, e105) again although they had said yes and the time hadn't changed.</t>
        </is>
      </c>
      <c r="J10" s="19" t="inlineStr">
        <is>
          <t>farmers market (Wei, Wei, Carlos); hiking (Wei, Carlos, Grace, Josh); history (Carlos, Ryan); baseball (Ryan, Grace); watch sports (Grace, Josh)</t>
        </is>
      </c>
      <c r="K10" s="18" t="inlineStr">
        <is>
          <t>OK</t>
        </is>
      </c>
      <c r="L10" s="19" t="inlineStr">
        <is>
          <t>A free afternoon hike with five people who all have an open Wednesday afternoon and mostly share hiking or history interests; every agent said yes consistently with its profile and the group locked cleanly. The main weaknesses are small embellishments in the matchmaker's pitches and a final message that calls Wei a history lover, which the profile does not support.</t>
        </is>
      </c>
      <c r="M10" s="21" t="inlineStr">
        <is>
          <t>Fable 5.1 audit</t>
        </is>
      </c>
      <c r="N10" s="15" t="n"/>
      <c r="O10" s="16" t="n"/>
      <c r="P10" s="22" t="inlineStr">
        <is>
          <t>Headline: Five Black Diamond locals set for the Franklin ghost town hike, Wed Oct 28, 1-4pm
Wei: Wei, you're set for the Franklin ghost town hike on Wednesday Oct 28, 1-4pm at the trail off Green River Gorge Rd. You'll be hiking alongside Carlos, Ryan, Grace, and Josh — Carlos is another hiking and history lover from Morgan Creek like you, so you'll have plenty to chat about on the trail.
Carlos: Carlos, your group for the Franklin ghost town hike is confirmed for Wednesday Oct 28, 1-4pm on Green River Gorge Rd. You'll be joined by Wei, Ryan, Grace, and Josh — Wei shares your love of hiking and lives in Morgan Creek too, and Ryan's history interest should make for good conversation among the old ruins.
Ryan: Ryan, you're in for the Franklin ghost town hike this Wednesday Oct 28, 1-4pm at the trailhead on Green River Gorge Rd. Carlos, Wei, Grace, and Josh are joining you, and Carlos in particular shares your interest in history, which should make the ghost town setting a fun one to explore together.
Grace: Grace, your Franklin ghost town hike is locked in for Wednesday Oct 28, 1-4pm on Green River Gorge Rd. You'll be hiking with Wei, Carlos, Ryan, and Josh — Josh is another hiking enthusiast and fellow shift worker, so your schedules and trail pace should line up well.
Josh: Josh, you're confirmed for the Franklin ghost town hike on Wednesday Oct 28, 1-4pm at Green River Gorge Rd. Wei, Carlos, Ryan, and Grace will be there too, and Grace shares your love of hiking plus the shift-worker life, so you two will have a lot in common on the trail.</t>
        </is>
      </c>
      <c r="Q10" s="21" t="inlineStr">
        <is>
          <t>P1 2026-10-28/g6</t>
        </is>
      </c>
      <c r="R10" s="21" t="inlineStr">
        <is>
          <t>proposed #47, plan #34, locked #325, messages #336</t>
        </is>
      </c>
    </row>
    <row r="11" ht="184" customHeight="1">
      <c r="A11" s="18" t="n">
        <v>10</v>
      </c>
      <c r="B11" s="18" t="inlineStr">
        <is>
          <t>P1
before fixes</t>
        </is>
      </c>
      <c r="C11" s="19" t="inlineStr">
        <is>
          <t>Sat 31 Oct
morning, 9am-10:30am</t>
        </is>
      </c>
      <c r="D11" s="20" t="inlineStr">
        <is>
          <t>Pickleball doubles
public courts in Maple Valley
free, 3 people</t>
        </is>
      </c>
      <c r="E11" s="19" t="inlineStr">
        <is>
          <t>Andres, 64, commuter: loves pickleball
Kevin, 30, commuter: loves pickleball
Quinn, 49, commuter: loves pickleball</t>
        </is>
      </c>
      <c r="F11" s="19" t="inlineStr">
        <is>
          <t>All three rate pickleball as a top love, and they also share baseball and live music.</t>
        </is>
      </c>
      <c r="G11" s="19" t="inlineStr">
        <is>
          <t>Asked 3 times: 3 yes, 0 no, 0 counter.
Locked by code with 3 yes (needs 2+).</t>
        </is>
      </c>
      <c r="H11" s="19" t="inlineStr">
        <is>
          <t>Andres (round 1): YES
  Saturday morning works great for Andres — he's free then and pickleball is one of his favorite activities. Count him in for doubles at Maple Valley!
Kevin (round 1): YES
  Saturday 9-10:30am pickleball in Maple Valley works great for Kevin—he's free that morning, loves pickleball, it's free, and bonus baseball chat sounds perfect. Count him in!
Quinn (round 1): YES
  Saturday 9-10:30am pickleball at Maple Valley courts works great for Quinn—free, morning works, and pickleball's a top love. Count them in!</t>
        </is>
      </c>
      <c r="I11" s="19" t="inlineStr">
        <is>
          <t>None: every rule held.</t>
        </is>
      </c>
      <c r="J11" s="19" t="inlineStr">
        <is>
          <t>live music (Andres, Kevin); dining (Andres, Kevin); pickleball (Andres, Kevin, Quinn); running (Kevin, Quinn); baseball (Kevin, Quinn)</t>
        </is>
      </c>
      <c r="K11" s="18" t="inlineStr">
        <is>
          <t>Good</t>
        </is>
      </c>
      <c r="L11" s="19" t="inlineStr">
        <is>
          <t>A clean, well-founded group: all three list pickleball as a top love, all are free Saturday morning, and the event is free, so budgets are untouched. Every agent said yes with reasons that match its profile, and the final messages name only the three attendees and cite real profile facts. The only blemishes are small overstatements of shared interests in the matchmaker's rationale and one invitation.</t>
        </is>
      </c>
      <c r="M11" s="21" t="inlineStr">
        <is>
          <t>Fable 5.1 audit</t>
        </is>
      </c>
      <c r="N11" s="15" t="n"/>
      <c r="O11" s="16" t="n"/>
      <c r="P11" s="22" t="inlineStr">
        <is>
          <t>Headline: Three pickleball lovers, one Saturday morning court in Maple Valley
Andres: Andres, your Saturday doubles match is set: Maple Valley public courts, Sat Oct 31, 9-10:30am, with Kevin and Quinn. Kevin shares your love of dining and live music, so there's plenty to chat about between games.
Kevin: Kevin, you're confirmed for pickleball doubles Saturday Oct 31, 9-10:30am at the Maple Valley public courts, alongside Andres and Quinn. Quinn's into running and baseball just like you, so you two will have plenty of common ground on the court.
Quinn: Quinn, your pickleball match is locked in for Saturday Oct 31, 9-10:30am at the Maple Valley public courts, with Andres and Kevin joining you. Kevin shares your love of running and baseball, so expect some good sports talk between rallies.</t>
        </is>
      </c>
      <c r="Q11" s="21" t="inlineStr">
        <is>
          <t>P1 2026-10-31/g1</t>
        </is>
      </c>
      <c r="R11" s="21" t="inlineStr">
        <is>
          <t>proposed #349, plan #341, locked #468, messages #474</t>
        </is>
      </c>
    </row>
    <row r="12" ht="154" customHeight="1">
      <c r="A12" s="18" t="n">
        <v>11</v>
      </c>
      <c r="B12" s="18" t="inlineStr">
        <is>
          <t>P1
before fixes</t>
        </is>
      </c>
      <c r="C12" s="19" t="inlineStr">
        <is>
          <t>Sat 31 Oct
morning, 8am-9am</t>
        </is>
      </c>
      <c r="D12" s="20" t="inlineStr">
        <is>
          <t>Easy 5K together
Ten Trails trail network
free, 3 people</t>
        </is>
      </c>
      <c r="E12" s="19" t="inlineStr">
        <is>
          <t>Hannah, 84, remote worker: loves running
Kavya, 25, commuter: loves running
Rachel, 29, commuter: likes running</t>
        </is>
      </c>
      <c r="F12" s="19" t="inlineStr">
        <is>
          <t>Three dedicated runners keen on a relaxed social 5K.</t>
        </is>
      </c>
      <c r="G12" s="19" t="inlineStr">
        <is>
          <t>Asked 3 times: 3 yes, 0 no, 0 counter.
Locked by code with 3 yes (needs 2+).</t>
        </is>
      </c>
      <c r="H12" s="19" t="inlineStr">
        <is>
          <t>Hannah (round 1): YES
  Saturday 8-9am works great for Hannah—she loves running, and coffee after is a perfect bonus. Count her in!
Kavya (round 1): YES
  Saturday 8-9am works great for Kavya - she's free that morning, loves running, and a free, low-pressure 5K with neighbors sounds perfect. She's in!
Rachel (round 1): YES
  Rachel's free Saturday morning and loves running, so an easy 5K with neighbors at Ten Trails sounds great — count her in!</t>
        </is>
      </c>
      <c r="I12" s="19" t="inlineStr">
        <is>
          <t>None: every rule held.</t>
        </is>
      </c>
      <c r="J12" s="19" t="inlineStr">
        <is>
          <t>running (Hannah, Kavya, Rachel); live music (Kavya, Rachel)</t>
        </is>
      </c>
      <c r="K12" s="18" t="inlineStr">
        <is>
          <t>Good</t>
        </is>
      </c>
      <c r="L12" s="19" t="inlineStr">
        <is>
          <t>A clean, well-matched group: three Saturday-morning-free neighbors who all list running as a strong interest, asked once each, all three said yes, and the group locked at its original time with no counters or re-asks. The only blemishes are small overstatements of Rachel's interest level (really likes, not loves) and an unaddressed question about her Downtown location and 'avoids long drives' preference that the log cannot resolve.</t>
        </is>
      </c>
      <c r="M12" s="21" t="inlineStr">
        <is>
          <t>Fable 5.1 audit</t>
        </is>
      </c>
      <c r="N12" s="15" t="n"/>
      <c r="O12" s="16" t="n"/>
      <c r="P12" s="22" t="inlineStr">
        <is>
          <t>Headline: Three runners, one easy 5K at Ten Trails
Hannah: Hannah, your Ten Trails 5K is set for Saturday 10/31, 8-9am, and you'll be running alongside Kavya and Rachel. Both of them love running just as much as you do, so expect good pace-matched company on the trail — a nice mix of ages but all equally into it.
Kavya: Kavya, you're confirmed for the easy 5K at Ten Trails this Saturday, 10/31 from 8-9am, running with Hannah and Rachel. All three of you share a real love of running, so this should feel like an easy, natural group from the first step.
Rachel: Rachel, your Ten Trails 5K group is locked in for Saturday 10/31, 8-9am, with Hannah and Kavya joining you. Running is something all three of you genuinely love, so you'll have plenty to talk about pace and routes with before you even start.</t>
        </is>
      </c>
      <c r="Q12" s="21" t="inlineStr">
        <is>
          <t>P1 2026-10-31/g2</t>
        </is>
      </c>
      <c r="R12" s="21" t="inlineStr">
        <is>
          <t>proposed #350, plan #341, locked #469, messages #476</t>
        </is>
      </c>
    </row>
    <row r="13" ht="289" customHeight="1">
      <c r="A13" s="18" t="n">
        <v>12</v>
      </c>
      <c r="B13" s="18" t="inlineStr">
        <is>
          <t>P1
before fixes</t>
        </is>
      </c>
      <c r="C13" s="19" t="inlineStr">
        <is>
          <t>Sat 31 Oct
afternoon, 1pm-4pm</t>
        </is>
      </c>
      <c r="D13" s="20" t="inlineStr">
        <is>
          <t>Franklin ghost town hike
Franklin ghost town trail, Green River Gorge Rd
free, 5 people</t>
        </is>
      </c>
      <c r="E13" s="19" t="inlineStr">
        <is>
          <t>Carlos, 61, retiree: likes history, loves hiking
Wei, 43, parent at home: likes hiking, loves photography
Ryan, 78, retiree: loves history [side interest]
Ron, 58, retiree: likes photography [side interest]
Imani, 40, parent at home: loves hiking</t>
        </is>
      </c>
      <c r="F13" s="19" t="inlineStr">
        <is>
          <t>The keenest hikers plus history and birding fans exploring the ghost town, with two parents at home in the mix.</t>
        </is>
      </c>
      <c r="G13" s="19" t="inlineStr">
        <is>
          <t>Asked 5 times: 5 yes, 0 no, 0 counter.
Locked by code with 5 yes (needs 2+).</t>
        </is>
      </c>
      <c r="H13" s="19" t="inlineStr">
        <is>
          <t>Carlos (round 1): YES
  This sounds perfect for Carlos — Saturday afternoon is free, he loves hiking and history, and a ghost town hike fits right in. Count him in!
Wei (round 1): YES
  This fits well - hiking and photography are both things Wei loves, it's free, and Saturday afternoon is open. A small group of neighbors (not a big crowd) sounds comfortable too, so count Wei in.
Ryan (round 1): YES
  Ryan's free Saturday afternoon and this is right up his alley—free, historical, and a gentle walk with neighbors. He'd love to join the Franklin ghost town hike.
Ron (round 1): YES
  Saturday 1-4pm works great for Ron — free that afternoon, and birding plus photography along the gorge with a book-club friend sounds right up his alley. He's in!
Imani (round 1): YES
  Saturday afternoon is free and this is right up Imani's alley — free, a hike, and close to home with no long drive. Count Imani in!</t>
        </is>
      </c>
      <c r="I13" s="19" t="inlineStr">
        <is>
          <t>None: every rule held.</t>
        </is>
      </c>
      <c r="J13" s="19" t="inlineStr">
        <is>
          <t>book club (Carlos, Ron); history (Carlos, Ryan); birding (Carlos, Ron); hiking (Carlos, Wei, Imani); farmers market (Carlos, Wei, Wei, Imani); photography (Wei, Ron)</t>
        </is>
      </c>
      <c r="K13" s="18" t="inlineStr">
        <is>
          <t>Good</t>
        </is>
      </c>
      <c r="L13" s="19" t="inlineStr">
        <is>
          <t>A clean, one-round negotiation: five people asked, five clear yeses, group locked at the proposed time with no wasted asks [383][398][403][408][428][464]. The members fit the activity on hiking, history, birding and photography, and the matchmaker's resolve step and final messages are accurate and name only attendees. Only minor framing issues exist: Ryan was pitched a 'gentle-paced walk' while everyone else was told it was a hike, and the final messages/headline stretch neighborhood proximity a little.</t>
        </is>
      </c>
      <c r="M13" s="21" t="inlineStr">
        <is>
          <t>Fable 5.1 audit</t>
        </is>
      </c>
      <c r="N13" s="15" t="n"/>
      <c r="O13" s="16" t="n"/>
      <c r="P13" s="22" t="inlineStr">
        <is>
          <t>Headline: Five Black Diamond neighbors hiking into history at Franklin ghost town
Carlos: Carlos, your small group for the Franklin ghost town hike is set for Saturday 31 Oct, 1-4pm at the trailhead on Green River Gorge Rd. You'll be with Wei, Ryan, Ron, and Imani — Ryan's as much a history buff as you are, so the old townsite should be right up your alley.
Wei: Wei, you're confirmed for the Franklin ghost town hike this Saturday 31 Oct, 1-4pm on Green River Gorge Rd, alongside Carlos, Ryan, Ron, and Imani. Imani's another hiking-loving parent at home in your neck of the woods, so you'll have plenty to chat about on the trail.
Ryan: Ryan, your group is locked in for the Franklin ghost town hike, Saturday 31 Oct from 1-4pm at the Green River Gorge Rd trailhead. You'll be hiking with Carlos, Wei, Ron, and Imani — Carlos shares your love of history, so the ghost town ruins should spark some good conversation.
Ron: Ron, you're set for the Franklin ghost town hike this Saturday 31 Oct, 1-4pm at Green River Gorge Rd, with Carlos, Wei, Ryan, and Imani joining you. Carlos loves birding just like you, so keep an eye out together along the trail.
Imani: Imani, your hiking group meets Saturday 31 Oct, 1-4pm at the Franklin ghost town trailhead on Green River Gorge Rd, with Carlos, Wei, Ryan, and Ron. Wei is another parent at home who loves hiking, so you two should hit it off on the way to the old townsite.</t>
        </is>
      </c>
      <c r="Q13" s="21" t="inlineStr">
        <is>
          <t>P1 2026-10-31/g3</t>
        </is>
      </c>
      <c r="R13" s="21" t="inlineStr">
        <is>
          <t>proposed #351, plan #341, locked #470, messages #478</t>
        </is>
      </c>
    </row>
    <row r="14" ht="289" customHeight="1">
      <c r="A14" s="18" t="n">
        <v>13</v>
      </c>
      <c r="B14" s="18" t="inlineStr">
        <is>
          <t>P1
before fixes</t>
        </is>
      </c>
      <c r="C14" s="19" t="inlineStr">
        <is>
          <t>Sat 31 Oct
evening, 7pm-9:30pm</t>
        </is>
      </c>
      <c r="D14" s="20" t="inlineStr">
        <is>
          <t>Kraken hockey night
Black Diamond Grill
low cost, 2 people</t>
        </is>
      </c>
      <c r="E14" s="19" t="inlineStr">
        <is>
          <t>Rosa, 43, commuter: loves craft beer, loves watch sports
Jack, 20, student: likes watch sports</t>
        </is>
      </c>
      <c r="F14" s="19" t="inlineStr">
        <is>
          <t>Three sports-watchers catching the Kraken game together at the local grill.</t>
        </is>
      </c>
      <c r="G14" s="19" t="inlineStr">
        <is>
          <t>Asked 5 times: 4 yes, 1 no, 0 counter.
Locked by code with 2 yes (needs 2+).</t>
        </is>
      </c>
      <c r="H14" s="19" t="inlineStr">
        <is>
          <t>Rosa (round 1): YES
  Rosa's free Saturday evening and loves watching sports with good cheap eats, so Kraken hockey night at Black Diamond Grill sounds great. Count her in!
Rosa (round 2): YES
  Saturday evening works great for Rosa, and watching hockey at a low-cost neighborhood spot fits her love of watching sports perfectly. She's happy to join Jack for Kraken hockey night.
Grace (round 1): NO
  Grace is free Saturday evening but 7-9:30pm runs too late for her since she avoids late nights. She'd love a watch-sports outing if it wraps up earlier, say 5-7:30pm, but this one doesn't work as scheduled.
Jack (round 1): YES
  Jack's free Saturday evening and loves watching sports, so Kraken hockey night at Black Diamond Grill sounds great — count him in!
Jack (round 2): YES
  Saturday evening works great for Jack, and watching hockey is right up his alley. He's in for 7-9:30pm at Black Diamond Grill.</t>
        </is>
      </c>
      <c r="I14" s="19" t="inlineStr">
        <is>
          <t>• Medium: The hub's round-2 message to e075 in 2026-10-31/g4 names e148 ('Grace'), who had said no.
• Medium: The hub's round-2 message to e133 in 2026-10-31/g4 names e148 ('Grace'), who had said no.
• Low: In round 2 the hub asked 2 people in 2026-10-31/g4 (e075, e133) again although they had said yes and the time hadn't changed.</t>
        </is>
      </c>
      <c r="J14" s="19" t="inlineStr">
        <is>
          <t>watch sports (Rosa, Jack)</t>
        </is>
      </c>
      <c r="K14" s="18" t="inlineStr">
        <is>
          <t>OK</t>
        </is>
      </c>
      <c r="L14" s="19" t="inlineStr">
        <is>
          <t>The matchmaker proposed a fixed 7-9:30pm hockey night to three Downtown sports-watchers, one of whom (Grace) avoids late nights; she predictably declined and, with no alternates, the group locked as a pair. All three agents answered in line with their profiles, and the final messages are accurate and name only attendees. The main weaknesses are the foreseeable conflict in the proposal, the matchmaker's false claim that no counters were made, and the already-flagged leaking of Grace's name.</t>
        </is>
      </c>
      <c r="M14" s="21" t="inlineStr">
        <is>
          <t>Fable 5.1 audit</t>
        </is>
      </c>
      <c r="N14" s="15" t="n"/>
      <c r="O14" s="16" t="n"/>
      <c r="P14" s="22" t="inlineStr">
        <is>
          <t>Headline: Kraken Night at Black Diamond Grill – Rosa &amp; Jack are set for Saturday
Rosa: Hey Rosa, you're confirmed for Kraken hockey night at Black Diamond Grill, Saturday Oct 31, 7-9:30pm! You'll be watching with Jack, a fellow sports fan who'll be just as into the game as you are. Should be a great low-key night cheering together.
Jack: Hey Jack, you're in for Kraken hockey night at Black Diamond Grill, Saturday Oct 31, 7-9:30pm! You're watching alongside Rosa, who loves sports just as much as you do, so expect good energy during the game.</t>
        </is>
      </c>
      <c r="Q14" s="21" t="inlineStr">
        <is>
          <t>P1 2026-10-31/g4</t>
        </is>
      </c>
      <c r="R14" s="21" t="inlineStr">
        <is>
          <t>proposed #352, plan #341, locked #471, messages #480</t>
        </is>
      </c>
    </row>
    <row r="15" ht="169" customHeight="1">
      <c r="A15" s="18" t="n">
        <v>14</v>
      </c>
      <c r="B15" s="18" t="inlineStr">
        <is>
          <t>P1
before fixes</t>
        </is>
      </c>
      <c r="C15" s="19" t="inlineStr">
        <is>
          <t>Sat 31 Oct
evening, 5:30pm-6:45pm</t>
        </is>
      </c>
      <c r="D15" s="20" t="inlineStr">
        <is>
          <t>Evening walk on the Ten Trails paths
Ten Trails trail network
free, 3 people</t>
        </is>
      </c>
      <c r="E15" s="19" t="inlineStr">
        <is>
          <t>Isabel, 23, commuter: loves running, likes hiking, loves dog walks
Josh, 41, shift worker: loves hiking [side interest]
Ron, 19, shift worker: likes dog walks</t>
        </is>
      </c>
      <c r="F15" s="19" t="inlineStr">
        <is>
          <t>An evening stroll for hikers and dog lovers, with Isabel very keen on it.</t>
        </is>
      </c>
      <c r="G15" s="19" t="inlineStr">
        <is>
          <t>Asked 3 times: 3 yes, 0 no, 0 counter.
Locked by code with 3 yes (needs 2+).</t>
        </is>
      </c>
      <c r="H15" s="19" t="inlineStr">
        <is>
          <t>Isabel (round 1): YES
  Saturday evening works great for Isabel - she's free, it's free, and a walk with fellow dog-walkers and hikers fits her love of dog walks and hiking perfectly. She's in!
Josh (round 1): YES
  Saturday evening works great for Josh — free time, no cost, and a walk with neighbors fits his love of hiking and the outdoors. He's in!
Ron (round 1): YES
  Saturday evening works great for Ron — he's free then, loves dog walks, and this relaxed small-group walk fits his vibe perfectly. Count him in!</t>
        </is>
      </c>
      <c r="I15" s="19" t="inlineStr">
        <is>
          <t>None: every rule held.</t>
        </is>
      </c>
      <c r="J15" s="19" t="inlineStr">
        <is>
          <t>hiking (Isabel, Josh); craft beer (Isabel, Ron); dog walks (Isabel, Ron); mountain biking (Josh, Ron); coffee (Josh, Ron)</t>
        </is>
      </c>
      <c r="K15" s="18" t="inlineStr">
        <is>
          <t>OK</t>
        </is>
      </c>
      <c r="L15" s="19" t="inlineStr">
        <is>
          <t>A free Saturday evening walk for three neighbors who all show hiking or dog-walk interests, with free evenings on their calendars; all three agents said yes for reasons grounded in their profiles and the group locked cleanly. The main flaw is in the final messages, where the matchmaker tells Josh that Ron is into crafts, which Ron's profile does not support, plus a few small unsupported embellishments (Josh 'after shifts', Isabel's 'pup', 'Ten Trails regulars').</t>
        </is>
      </c>
      <c r="M15" s="21" t="inlineStr">
        <is>
          <t>Fable 5.1 audit</t>
        </is>
      </c>
      <c r="N15" s="15" t="n"/>
      <c r="O15" s="16" t="n"/>
      <c r="P15" s="22" t="inlineStr">
        <is>
          <t>Headline: Three Ten Trails regulars linking up for a Saturday evening walk
Isabel: Isabel, your Ten Trails walk is set for Saturday 10/31, 5:30-6:45pm, alongside Josh and Ron. You and Ron both love dog walks, so expect easy conversation on the trail. Josh's a hiker too, which should make for a relaxed, no-rush pace out there.
Josh: Josh, you're confirmed for the Ten Trails walk this Saturday 10/31 from 5:30-6:45pm with Isabel and Ron. Isabel's a hiker like you, so you'll have plenty to talk about on the paths. Ron's into coffee and crafts too, which lines up nicely with your own interests.
Ron: Ron, your evening walk at Ten Trails is confirmed for Saturday 10/31, 5:30-6:45pm, with Isabel and Josh joining you. Isabel's also big on dog walks, so that's an easy connection point on the trail. Josh shares your interest in coffee, giving you something to chat about post-walk.</t>
        </is>
      </c>
      <c r="Q15" s="21" t="inlineStr">
        <is>
          <t>P1 2026-10-31/g5</t>
        </is>
      </c>
      <c r="R15" s="21" t="inlineStr">
        <is>
          <t>proposed #353, plan #341, locked #472, messages #482</t>
        </is>
      </c>
    </row>
    <row r="16" ht="124" customHeight="1">
      <c r="A16" s="18" t="n">
        <v>15</v>
      </c>
      <c r="B16" s="18" t="inlineStr">
        <is>
          <t>P1
before fixes</t>
        </is>
      </c>
      <c r="C16" s="19" t="inlineStr">
        <is>
          <t>Sat 31 Oct
afternoon, 1:30pm-3:30pm</t>
        </is>
      </c>
      <c r="D16" s="20" t="inlineStr">
        <is>
          <t>Paddle Lake Sawyer
Lake Sawyer Regional Park boat launch
low cost, 2 people</t>
        </is>
      </c>
      <c r="E16" s="19" t="inlineStr">
        <is>
          <t>Donna, 61, remote worker: likes kayaking, is up for boating
Lauren, 28, remote worker: loves kayaking</t>
        </is>
      </c>
      <c r="F16" s="19" t="inlineStr">
        <is>
          <t>Two kayakers who also both enjoy craft beer, paddling Lake Sawyer together.</t>
        </is>
      </c>
      <c r="G16" s="19" t="inlineStr">
        <is>
          <t>Asked 2 times: 2 yes, 0 no, 0 counter.
Locked by code with 2 yes (needs 2+).</t>
        </is>
      </c>
      <c r="H16" s="19" t="inlineStr">
        <is>
          <t>Donna (round 1): YES
  Saturday afternoon kayaking at Lake Sawyer works great for Donna—she loves kayaking, it's a small group not a crowd, and she's free that time. A pint after sounds good too.
Lauren (round 1): YES
  This is a great fit — kayaking on Saturday afternoon works perfectly with Lauren's schedule, budget, and love of the activity. Count her in!</t>
        </is>
      </c>
      <c r="I16" s="19" t="inlineStr">
        <is>
          <t>None: every rule held.</t>
        </is>
      </c>
      <c r="J16" s="19" t="inlineStr">
        <is>
          <t>running (Donna, Lauren); kayaking (Donna, Lauren); craft beer (Donna, Lauren)</t>
        </is>
      </c>
      <c r="K16" s="18" t="inlineStr">
        <is>
          <t>Good</t>
        </is>
      </c>
      <c r="L16" s="19" t="inlineStr">
        <is>
          <t>A two-person kayak outing was proposed to two people who both list kayaking and craft beer, both free Saturday afternoon, and both said yes with reasons grounded in their profiles. The matchmaker's messages and the final confirmations stick to profile facts and name only the two confirmed paddlers. The only quibble is a small inferential flourish in Lauren's final message.</t>
        </is>
      </c>
      <c r="M16" s="21" t="inlineStr">
        <is>
          <t>Fable 5.1 audit</t>
        </is>
      </c>
      <c r="N16" s="15" t="n"/>
      <c r="O16" s="16" t="n"/>
      <c r="P16" s="22" t="inlineStr">
        <is>
          <t>Headline: Two Lake Sawyer paddlers are set for Halloween afternoon on the water
Donna: Donna, you're confirmed for paddling Lake Sawyer this Saturday, Oct 31, 1:30-3:30pm at the Lake Sawyer Regional Park boat launch. You'll be out with Lauren, who loves kayaking just as much as you do, so you two should have plenty to talk about between strokes. See you at the launch!
Lauren: Lauren, your Lake Sawyer paddle is confirmed for Saturday, Oct 31, 1:30-3:30pm, launching from the Lake Sawyer Regional Park boat launch. You're paired with Donna, a fellow kayaking enthusiast who also works remotely, so the pace of the day should suit you both well. See you on the water!</t>
        </is>
      </c>
      <c r="Q16" s="21" t="inlineStr">
        <is>
          <t>P1 2026-10-31/g6</t>
        </is>
      </c>
      <c r="R16" s="21" t="inlineStr">
        <is>
          <t>proposed #354, plan #341, locked #473, messages #484</t>
        </is>
      </c>
    </row>
    <row r="17" ht="319" customHeight="1">
      <c r="A17" s="11" t="n">
        <v>16</v>
      </c>
      <c r="B17" s="11" t="inlineStr">
        <is>
          <t>T1
before fixes</t>
        </is>
      </c>
      <c r="C17" s="12" t="inlineStr">
        <is>
          <t>Wed 28 Oct
evening, 7pm-9pm</t>
        </is>
      </c>
      <c r="D17" s="13" t="inlineStr">
        <is>
          <t>Trivia night as one team
a Black Diamond taproom
low cost, 5 people</t>
        </is>
      </c>
      <c r="E17" s="12" t="inlineStr">
        <is>
          <t>Rohan, 60, commuter: loves craft beer [side interest]
Rosa, 43, commuter: loves craft beer [side interest]
Kevin, 61, commuter: loves craft beer [side interest]
Paige, 67, commuter: loves craft beer [side interest]
Kavya, 25, commuter: loves trivia</t>
        </is>
      </c>
      <c r="F17" s="12" t="inlineStr">
        <is>
          <t>Five craft-beer lovers in their 40s-60s who also share golf and watching sports, so they'll have plenty to talk about between rounds.</t>
        </is>
      </c>
      <c r="G17" s="12" t="inlineStr">
        <is>
          <t>Asked 6 times: 5 yes, 1 no, 0 counter.
Locked by code with 5 yes (needs 2+).</t>
        </is>
      </c>
      <c r="H17" s="12" t="inlineStr">
        <is>
          <t>Rohan (round 1): YES
  Wednesday evening works great for Rohan, and a taproom setting fits his love of craft beer—he's in for trivia night with the neighbors.
Rosa (round 1): YES
  Wednesday evening works great for Rosa, and a trivia night at a taproom with fellow craft beer and sports fans sounds right up her alley. Count her in!
Tom (round 1): NO
  Tom's free Wednesday evening, and craft beer at a taproom sounds great, but a 7-9pm trivia night runs later than he likes given he avoids late nights and has kids at home. Let's pass on this one.
Kevin (round 1): YES
  Wednesday evening works great for Kevin — he's free, loves craft beer, and a small group trivia night at a taproom sounds like a fun low-key fit. Count him in.
Paige (round 1): YES
  Paige is free Wednesday evening and loves craft beer, so a taproom trivia night with neighbors fits well. Count her in.
Kavya (round 2): YES
  Kavya's free Wednesday evening and loves trivia - count her in for 7-9pm at the taproom!</t>
        </is>
      </c>
      <c r="I17" s="12" t="inlineStr">
        <is>
          <t>None: every rule held.</t>
        </is>
      </c>
      <c r="J17" s="12" t="inlineStr">
        <is>
          <t>craft beer (Rohan, Rosa, Kevin, Paige); golf (Rohan, Rosa, Kevin); hiking (Rosa, Kavya); watch sports (Rosa, Kevin); running (Kevin, Paige, Kavya)</t>
        </is>
      </c>
      <c r="K17" s="11" t="inlineStr">
        <is>
          <t>OK</t>
        </is>
      </c>
      <c r="L17" s="12" t="inlineStr">
        <is>
          <t>Rohan, rosa, kevin, paige are here for a side interest, not trivia; ages 25 to 67.</t>
        </is>
      </c>
      <c r="M17" s="14" t="inlineStr">
        <is>
          <t>Rules (no AI call)</t>
        </is>
      </c>
      <c r="N17" s="15" t="n"/>
      <c r="O17" s="16" t="n"/>
      <c r="P17" s="17" t="inlineStr">
        <is>
          <t>Headline: Your trivia team is set for Black Diamond Ridge taproom, Wed 10/28, 7-9pm
Rohan: Rohan, your trivia team is locked in: Wednesday 10/28, 7-9pm at a Black Diamond taproom. You'll be teamed with Rosa, Kevin, and Paige, all fellow craft beer lovers, plus Kavya, so between pints and golf talk with Rosa and Kevin, there's plenty to bond over before the questions even start.
Rosa: Rosa, you're set for trivia night Wednesday 10/28, 7-9pm at a Black Diamond taproom. Rohan and Kevin share your love of golf and craft beer, and Paige rounds out the beer-loving crew, so this team already has a lot in common beyond just buzzer skills.
Kevin: Kevin, your trivia night is confirmed for Wednesday 10/28, 7-9pm at a Black Diamond taproom. You'll be alongside Rohan and Rosa, both craft beer and golf fans like you, plus Paige and Kavya who share your love of running, so this group covers a lot of your favorite things at once.
Paige: Paige, you're set for trivia night this Wednesday 10/28, 7-9pm at a Black Diamond taproom, close to home. Rohan, Rosa, and Kevin all love craft beer like you, and Kevin shares your love of running too, so the team has plenty of common ground going in.
Kavya: Kavya, trivia night is a go for Wednesday 10/28, 7-9pm at a Black Diamond taproom, and with your love of trivia, this one's right up your alley. Kevin and Paige share your love of running, while Rohan, Rosa, and Kevin bring the craft beer energy to round out the team.</t>
        </is>
      </c>
      <c r="Q17" s="14" t="inlineStr">
        <is>
          <t>T1 2026-10-28/g1</t>
        </is>
      </c>
      <c r="R17" s="14" t="inlineStr">
        <is>
          <t>proposed #216, plan #204, locked #500, messages #510</t>
        </is>
      </c>
    </row>
    <row r="18" ht="394" customHeight="1">
      <c r="A18" s="11" t="n">
        <v>17</v>
      </c>
      <c r="B18" s="11" t="inlineStr">
        <is>
          <t>T1
before fixes</t>
        </is>
      </c>
      <c r="C18" s="12" t="inlineStr">
        <is>
          <t>Wed 28 Oct
evening, 6:30pm-8pm
(planned 6:30pm-9pm)</t>
        </is>
      </c>
      <c r="D18" s="13" t="inlineStr">
        <is>
          <t>Crafts and woodworking night
a neighbor's garage workshop
free, 4 people</t>
        </is>
      </c>
      <c r="E18" s="12" t="inlineStr">
        <is>
          <t>Rachel, 29, commuter: loves crafts
Nikhil, 37, commuter: loves crafts
Camila, 53, commuter: likes crafts
Matt, 49, remote worker: likes crafts</t>
        </is>
      </c>
      <c r="F18" s="12" t="inlineStr">
        <is>
          <t>Four neighbors who all list crafts as a real interest, a small enough group to share tools and projects.</t>
        </is>
      </c>
      <c r="G18" s="12" t="inlineStr">
        <is>
          <t>Asked 8 times: 7 yes, 0 no, 1 counter.
Time moved from 6:30pm-9pm to 6:30pm-8pm.
Locked by code with 4 yes (needs 2+).</t>
        </is>
      </c>
      <c r="H18" s="12" t="inlineStr">
        <is>
          <t>Rachel (round 1): YES
  Rachel's free Wednesday evening and loves crafts, so this garage workshop night fits perfectly. Count her in!
Rachel (round 2): YES
  Wednesday evening works well for Rachel and crafts is something she loves, so 6:30-8pm at the neighbor's garage is a great fit.
Nikhil (round 1): COUNTER, asked for: Shift the end time earlier, like 6:30-8pm instead of 9pm, so it doesn't run into late night territory.
  Crafts night sounds great for Nikhil—he loves hands-on projects—but 9pm is later than he likes to be out. Could it wrap by 8pm instead?
Nikhil (round 2): YES
  6:30-8pm Wednesday works great for Nikhil — free evening, loves crafts, free cost, and ends well before late-night territory. Confirmed!
Camila (round 1): YES
  This is a great fit—Camila loves crafts, it's free, and Wednesday evening works perfectly with her schedule. Count her in!
Camila (round 2): YES
  Wednesday evening is free, crafts is a favorite of Camila's, and it's free cost, so 6:30-8pm works great for her.
Matt (round 1): YES
  Matt's free Wednesday evening and really likes crafts, so this free neighborhood woodworking night sounds great to him. Count him in.
Matt (round 2): YES
  Wednesday evening works and crafts is a solid fit for Matt, plus it's free. 6:30-8pm is good to go.</t>
        </is>
      </c>
      <c r="I18" s="12" t="inlineStr">
        <is>
          <t>None: every rule held.</t>
        </is>
      </c>
      <c r="J18" s="12" t="inlineStr">
        <is>
          <t>running (Rachel, Camila, Matt); crafts (Rachel, Nikhil, Camila, Matt); watch sports (Nikhil, Camila); golf (Nikhil, Matt)</t>
        </is>
      </c>
      <c r="K18" s="11" t="inlineStr">
        <is>
          <t>Good</t>
        </is>
      </c>
      <c r="L18" s="12" t="inlineStr">
        <is>
          <t>Everyone is into crafts (2 of 4 love it). No clashes.</t>
        </is>
      </c>
      <c r="M18" s="14" t="inlineStr">
        <is>
          <t>Rules (no AI call)</t>
        </is>
      </c>
      <c r="N18" s="15" t="n"/>
      <c r="O18" s="16" t="n"/>
      <c r="P18" s="17" t="inlineStr">
        <is>
          <t>Headline: Woodworking &amp; crafts night, Wed Oct 28, 6:30–8pm at a neighbor's garage workshop in Black Diamond
Rachel: Hi Rachel, your craft night is set for Wednesday Oct 28, 6:30–8pm at a neighbor's garage workshop. You'll be with Nikhil, Camila, and Matt — all crafts lovers like you, and Matt's also into running if you want a workout buddy after.
Nikhil: Hey Nikhil, you're confirmed for crafts and woodworking night this Wednesday Oct 28, 6:30–8pm at a neighbor's garage workshop. Joining you are Rachel, Camila, and Matt, all fellow craft enthusiasts, and Camila's also a parent juggling kids at home like you.
Camila: Hi Camila, your spot is locked in for Wednesday Oct 28, 6:30–8pm at a neighbor's garage workshop for a crafts and woodworking night. You'll meet Rachel, Nikhil, and Matt — all crafts people, and Nikhil's also raising kids at home just like you.
Matt: Hey Matt, crafts and woodworking night is confirmed for Wednesday Oct 28, 6:30–8pm at a neighbor's garage workshop. You'll be with Rachel, Nikhil, and Camila, all crafts fans, and Rachel's a runner too if you want to compare notes on that.</t>
        </is>
      </c>
      <c r="Q18" s="14" t="inlineStr">
        <is>
          <t>T1 2026-10-28/g2</t>
        </is>
      </c>
      <c r="R18" s="14" t="inlineStr">
        <is>
          <t>proposed #217, plan #204, locked #501, messages #512</t>
        </is>
      </c>
    </row>
    <row r="19" ht="184" customHeight="1">
      <c r="A19" s="11" t="n">
        <v>18</v>
      </c>
      <c r="B19" s="11" t="inlineStr">
        <is>
          <t>T1
before fixes</t>
        </is>
      </c>
      <c r="C19" s="12" t="inlineStr">
        <is>
          <t>Wed 28 Oct
evening, 6:30pm-8pm</t>
        </is>
      </c>
      <c r="D19" s="13" t="inlineStr">
        <is>
          <t>Pickleball doubles
public courts in Maple Valley
free, 4 people</t>
        </is>
      </c>
      <c r="E19" s="12" t="inlineStr">
        <is>
          <t>Andres, 64, commuter: loves pickleball
Quinn, 49, commuter: loves pickleball
Seo-yeon, 49, commuter: loves pickleball
Brooke, 54, commuter: loves pickleball</t>
        </is>
      </c>
      <c r="F19" s="12" t="inlineStr">
        <is>
          <t>Four keen pickleball players aged 49-64, a perfect doubles foursome, and three of them also love watching sports.</t>
        </is>
      </c>
      <c r="G19" s="12" t="inlineStr">
        <is>
          <t>Asked 4 times: 4 yes, 0 no, 0 counter.
Locked by code with 4 yes (needs 2+).</t>
        </is>
      </c>
      <c r="H19" s="12" t="inlineStr">
        <is>
          <t>Andres (round 1): YES
  Wednesday evening works great and pickleball is a top pick for Andres—count him in for the doubles foursome in Maple Valley.
Quinn (round 1): YES
  Quinn's free Wednesday evening and loves pickleball - free doubles at Maple Valley courts 6:30-8pm sounds great, count them in!
Seo-yeon (round 1): YES
  Wednesday 6:30-8pm pickleball doubles sounds great—free, early evening, and right up Seo-yeon's alley. Count her in!
Brooke (round 1): YES
  Brooke's free Wednesday evening and loves pickleball—sign them up for the doubles session in Maple Valley, 6:30-8pm works great.</t>
        </is>
      </c>
      <c r="I19" s="12" t="inlineStr">
        <is>
          <t>None: every rule held.</t>
        </is>
      </c>
      <c r="J19" s="12" t="inlineStr">
        <is>
          <t>dining (Andres, Brooke); hiking (Andres, Brooke); pickleball (Andres, Quinn, Seo-yeon, Brooke); running (Quinn, Seo-yeon); watch sports (Quinn, Seo-yeon, Brooke)</t>
        </is>
      </c>
      <c r="K19" s="11" t="inlineStr">
        <is>
          <t>Good</t>
        </is>
      </c>
      <c r="L19" s="12" t="inlineStr">
        <is>
          <t>Everyone is into pickleball (4 of 4 love it). No clashes.</t>
        </is>
      </c>
      <c r="M19" s="14" t="inlineStr">
        <is>
          <t>Rules (no AI call)</t>
        </is>
      </c>
      <c r="N19" s="15" t="n"/>
      <c r="O19" s="16" t="n"/>
      <c r="P19" s="17" t="inlineStr">
        <is>
          <t>Headline: Four pickleball lovers meet up at the Maple Valley courts
Andres: Andres, your small group is set for pickleball doubles at the Maple Valley public courts, Wednesday 10/28 from 6:30-8pm. You'll be playing alongside Brooke, who's also a Morgan Creek commuter and shares your love of hiking and pickleball, plus Quinn and Seo-yeon. Should be a good mix of competitive rallies and easy conversation.
Quinn: Quinn, you're confirmed for pickleball doubles Wednesday 10/28, 6:30-8pm at the Maple Valley public courts. Seo-yeon will be there too — you're both 49, commuters, and love running and watch sports as much as pickleball, so you'll have plenty to talk about between games. Andres and Brooke round out the group.
Seo-yeon: Seo-yeon, your pickleball doubles group is confirmed for Wednesday 10/28, 6:30-8pm at the Maple Valley public courts. Quinn's joining you and is basically your mirror on this one — same age, a fellow commuter, and just as into running and watch sports. Andres and Brooke will be out there too.
Brooke: Brooke, you're all set for pickleball doubles Wednesday 10/28, 6:30-8pm at the Maple Valley public courts. Andres lives right in Morgan Creek like you and shares your love of hiking and pickleball, so you two should click easily, with Quinn and Seo-yeon rounding out the foursome.</t>
        </is>
      </c>
      <c r="Q19" s="14" t="inlineStr">
        <is>
          <t>T1 2026-10-28/g3</t>
        </is>
      </c>
      <c r="R19" s="14" t="inlineStr">
        <is>
          <t>proposed #218, plan #204, locked #502, messages #514</t>
        </is>
      </c>
    </row>
    <row r="20" ht="229" customHeight="1">
      <c r="A20" s="11" t="n">
        <v>19</v>
      </c>
      <c r="B20" s="11" t="inlineStr">
        <is>
          <t>T1
before fixes</t>
        </is>
      </c>
      <c r="C20" s="12" t="inlineStr">
        <is>
          <t>Wed 28 Oct
morning, 9am-11:30am</t>
        </is>
      </c>
      <c r="D20" s="13" t="inlineStr">
        <is>
          <t>Franklin ghost town hike
Franklin ghost town trail, Green River Gorge Rd
free, 4 people</t>
        </is>
      </c>
      <c r="E20" s="12" t="inlineStr">
        <is>
          <t>Wei, 43, parent at home: likes hiking, loves photography
Claire, 81, retiree: loves history [side interest]
Ryan, 78, retiree: loves history [side interest]
Nora, 48, shift worker: likes hiking, is up for photography</t>
        </is>
      </c>
      <c r="F20" s="12" t="inlineStr">
        <is>
          <t>History lovers and photographers exploring a ghost town together, with the hikers setting an easy pace.</t>
        </is>
      </c>
      <c r="G20" s="12" t="inlineStr">
        <is>
          <t>Asked 4 times: 4 yes, 0 no, 0 counter.
Locked by code with 4 yes (needs 2+).</t>
        </is>
      </c>
      <c r="H20" s="12" t="inlineStr">
        <is>
          <t>Wei (round 1): YES
  This sounds great—Wednesday morning works, hiking and photography are right up Wei's alley, it's free, and a small neighbor group beats a crowd. Count Wei in!
Claire (round 1): YES
  Claire's free Wednesday morning and loves history—exploring the Franklin ghost town remains sounds like a great fit, especially with another history buff along. Count her in for 9-11:30am.
Ryan (round 1): YES
  Ryan's free Wednesday morning, loves history, and it's free with a small neighborly group — this sounds like a great fit. He's in!
Nora (round 1): YES
  Wednesday morning works great for Nora — she loves hiking and photography, and a free scenic hike with neighbors sounds perfect. Count her in!</t>
        </is>
      </c>
      <c r="I20" s="12" t="inlineStr">
        <is>
          <t>None: every rule held.</t>
        </is>
      </c>
      <c r="J20" s="12" t="inlineStr">
        <is>
          <t>farmers market (Wei, Wei); hiking (Wei, Nora); photography (Wei, Nora); history (Claire, Ryan)</t>
        </is>
      </c>
      <c r="K20" s="11" t="inlineStr">
        <is>
          <t>Weak</t>
        </is>
      </c>
      <c r="L20" s="12" t="inlineStr">
        <is>
          <t>2 of 4 aren't into hiking, and they share little else.</t>
        </is>
      </c>
      <c r="M20" s="14" t="inlineStr">
        <is>
          <t>Rules (no AI call)</t>
        </is>
      </c>
      <c r="N20" s="15" t="n"/>
      <c r="O20" s="16" t="n"/>
      <c r="P20" s="17" t="inlineStr">
        <is>
          <t>Headline: Four Black Diamond neighbors, one ghost town trail
Wei: Wei, your small group for the Franklin ghost town hike is set for Wednesday 28 Oct, 9-11:30am at the Franklin ghost town trail off Green River Gorge Rd. You'll be with Claire, Ryan, and Nora — Nora's into hiking and photography just like you, so you two will have plenty to click over on the trail.
Claire: Claire, your small group for the Franklin ghost town hike is confirmed for Wednesday 28 Oct, 9-11:30am at the Franklin ghost town trail on Green River Gorge Rd. You're joining Wei, Ryan, and Nora, and with Ryan's love of history, this old ghost town stop should be right up both your alleys.
Ryan: Ryan, you're set for the Franklin ghost town hike this Wednesday 28 Oct, 9-11:30am at the Franklin ghost town trail, Green River Gorge Rd. You'll be hiking with Wei, Claire, and Nora, and Claire's own love of history makes her a natural companion for exploring the old townsite with you.
Nora: Nora, your small group for the Franklin ghost town hike is confirmed for Wednesday 28 Oct, 9-11:30am at the Franklin ghost town trail off Green River Gorge Rd. You'll be with Wei, Claire, and Ryan, and since Wei shares your love of hiking and photography, you'll have a great trail partner for catching the views.</t>
        </is>
      </c>
      <c r="Q20" s="14" t="inlineStr">
        <is>
          <t>T1 2026-10-28/g4</t>
        </is>
      </c>
      <c r="R20" s="14" t="inlineStr">
        <is>
          <t>proposed #219, plan #204, locked #503, messages #516</t>
        </is>
      </c>
    </row>
    <row r="21" ht="409" customHeight="1">
      <c r="A21" s="11" t="n">
        <v>20</v>
      </c>
      <c r="B21" s="11" t="inlineStr">
        <is>
          <t>T1
before fixes</t>
        </is>
      </c>
      <c r="C21" s="12" t="inlineStr">
        <is>
          <t>Wed 28 Oct
morning, 9:30am-10:30am
(planned 8:30am-10am)</t>
        </is>
      </c>
      <c r="D21" s="13" t="inlineStr">
        <is>
          <t>Coffee and pastries at the Black Diamond Bakery
Black Diamond Bakery
low cost, 4 people</t>
        </is>
      </c>
      <c r="E21" s="12" t="inlineStr">
        <is>
          <t>Andres, 22, shift worker: loves coffee, loves baking
Mark, 44, shift worker: loves coffee, likes baking
Chris, 36, parent at home: is up for coffee, loves baking
Brian, 48, parent at home: loves baking [side interest]</t>
        </is>
      </c>
      <c r="F21" s="12" t="inlineStr">
        <is>
          <t>Four keen home bakers, several of them parents, talking pastries over coffee at the bakery.</t>
        </is>
      </c>
      <c r="G21" s="12" t="inlineStr">
        <is>
          <t>Asked 8 times: 7 yes, 0 no, 1 counter.
Time moved from 8:30am-10am to 9:30am-10:30am.
Locked by code with 4 yes (needs 2+).</t>
        </is>
      </c>
      <c r="H21" s="12" t="inlineStr">
        <is>
          <t>Andres (round 1): YES
  Wednesday morning works great for Andres — he's free then and loves coffee and baking, so coffee and pastries with neighbors at Black Diamond Bakery is a solid yes.
Andres (round 2): YES
  Wednesday morning is free for Andres, coffee and pastries at a low cost fits his budget and tastes, so 9:30-10:30am works great.
Mark (round 1): YES
  This fits perfectly - Wednesday morning is free, coffee and baked goods align with Mark's love of coffee and baking, it's low-cost, and a casual neighbor meetup sounds great. Let's do it.
Mark (round 2): YES
  9:30-10:30am Wednesday works well for Mark — coffee and pastries fits his free morning, his love of coffee/baking, and his budget. Let's lock it in.
Chris (round 1): COUNTER, asked for: Move the start to 9:30-10:30am that same Wednesday morning, still within the free morning slot but outside the early-morning window Chris avoids.
  Chris loves this idea — coffee, pastries, and baking folks is right up his alley — but 8:30am is too early for him. Could we shift it to a 9:30-10:30am start instead?
Chris (round 2): YES
  9:30am works well for Chris—coffee and pastries at the bakery sounds great, count Chris in!
Brian (round 1): YES
  Brian's free Wednesday morning and loves all things baking-related, so coffee and pastries at Black Diamond Bakery sounds perfect. Count him in!
Brian (round 2): YES
  Wednesday morning is free for Brian, and coffee and pastries at a bakery sounds great given his love of baking. 9:30-10:30am works well.</t>
        </is>
      </c>
      <c r="I21" s="12" t="inlineStr">
        <is>
          <t>None: every rule held.</t>
        </is>
      </c>
      <c r="J21" s="12" t="inlineStr">
        <is>
          <t>coffee (Andres, Mark, Chris); baking (Andres, Mark, Chris, Brian); swimming (Andres, Chris); picnics (Mark, Chris); dog walks (Mark, Brian)</t>
        </is>
      </c>
      <c r="K21" s="11" t="inlineStr">
        <is>
          <t>OK</t>
        </is>
      </c>
      <c r="L21" s="12" t="inlineStr">
        <is>
          <t>Brian is here for a side interest, not coffee.</t>
        </is>
      </c>
      <c r="M21" s="14" t="inlineStr">
        <is>
          <t>Rules (no AI call)</t>
        </is>
      </c>
      <c r="N21" s="15" t="n"/>
      <c r="O21" s="16" t="n"/>
      <c r="P21" s="17" t="inlineStr">
        <is>
          <t>Headline: Coffee, pastries, and a shared love of baking at Black Diamond Bakery
Andres: Hi Andres, you're set for coffee and pastries at Black Diamond Bakery on Wednesday 28 Oct, 9:30-10:30am. You'll be joining Mark, Chris, and Brian — all of you share a love of baking, so expect some good pastry talk over coffee.
Mark: Hi Mark, your coffee and pastries meetup is confirmed for Black Diamond Bakery on Wednesday 28 Oct, 9:30-10:30am. You're joining Andres, Chris, and Brian, and with everyone being into baking like you, this should make for easy conversation over the treats.
Chris: Hi Chris, you're confirmed for coffee and pastries at Black Diamond Bakery on Wednesday 28 Oct, 9:30-10:30am. Andres, Mark, and Brian will be there too, and since baking is something you all love, there's plenty to chat about between bites.
Brian: Hi Brian, your spot for coffee and pastries at Black Diamond Bakery on Wednesday 28 Oct, 9:30-10:30am is confirmed. You'll be meeting Andres, Mark, and Chris, and your shared love of baking should make for a great conversation starter over coffee.</t>
        </is>
      </c>
      <c r="Q21" s="14" t="inlineStr">
        <is>
          <t>T1 2026-10-28/g5</t>
        </is>
      </c>
      <c r="R21" s="14" t="inlineStr">
        <is>
          <t>proposed #220, plan #204, locked #504, messages #518</t>
        </is>
      </c>
    </row>
    <row r="22" ht="244" customHeight="1">
      <c r="A22" s="11" t="n">
        <v>21</v>
      </c>
      <c r="B22" s="11" t="inlineStr">
        <is>
          <t>T1
before fixes</t>
        </is>
      </c>
      <c r="C22" s="12" t="inlineStr">
        <is>
          <t>Wed 28 Oct
morning, 8am-10:30am</t>
        </is>
      </c>
      <c r="D22" s="13" t="inlineStr">
        <is>
          <t>Early fishing on Lake Sawyer
Lake Sawyer Regional Park
free, 4 people</t>
        </is>
      </c>
      <c r="E22" s="12" t="inlineStr">
        <is>
          <t>Noah, 77, retiree: loves fishing
Liam, 76, retiree: loves fishing
Isabel, 74, retiree: loves fishing
Tom, 76, retiree: loves fishing</t>
        </is>
      </c>
      <c r="F22" s="12" t="inlineStr">
        <is>
          <t>Four retirees who all rate fishing as a top interest, a relaxed morning on the lake.</t>
        </is>
      </c>
      <c r="G22" s="12" t="inlineStr">
        <is>
          <t>Asked 4 times: 4 yes, 0 no, 0 counter.
Locked by code with 4 yes (needs 2+).</t>
        </is>
      </c>
      <c r="H22" s="12" t="inlineStr">
        <is>
          <t>Noah (round 1): YES
  This is a great fit—Noah loves fishing, it's free, Wednesday morning is open, and he'd enjoy meeting fellow retiree anglers. Count him in!
Liam (round 1): YES
  This is perfect for Liam — free morning fishing on Wednesday fits his schedule, his love of fishing, and even connects with folks who share his interest in crafts. Count him in!
Isabel (round 1): YES
  This is a great fit—Isabel loves fishing, it's free, in her free Wednesday morning slot, and a quiet small group of fellow retirees who also enjoy fishing and crafts sounds perfect for her.
Tom (round 1): YES
  This is perfect—Tom loves fishing, Wednesday morning is free, and he'd enjoy the company of fellow retirees at Lake Sawyer. Count him in!</t>
        </is>
      </c>
      <c r="I22" s="12" t="inlineStr">
        <is>
          <t>None: every rule held.</t>
        </is>
      </c>
      <c r="J22" s="12" t="inlineStr">
        <is>
          <t>fishing (Noah, Liam, Isabel, Tom); crafts (Liam, Isabel)</t>
        </is>
      </c>
      <c r="K22" s="11" t="inlineStr">
        <is>
          <t>Good</t>
        </is>
      </c>
      <c r="L22" s="12" t="inlineStr">
        <is>
          <t>Everyone is into fishing (4 of 4 love it). No clashes.</t>
        </is>
      </c>
      <c r="M22" s="14" t="inlineStr">
        <is>
          <t>Rules (no AI call)</t>
        </is>
      </c>
      <c r="N22" s="15" t="n"/>
      <c r="O22" s="16" t="n"/>
      <c r="P22" s="17" t="inlineStr">
        <is>
          <t>Headline: Four Black Diamond anglers, one early morning at Lake Sawyer
Noah: Noah, your early fishing outing at Lake Sawyer Regional Park is set for Wednesday 28 Oct, 8-10:30am. You'll be joined by Liam, Isabel, and Tom, all fellow retirees who share your love of fishing. Isabel is a fellow Downtown retiree, so you'll have an easy connection there too.
Liam: Liam, you're confirmed for early fishing at Lake Sawyer Regional Park on Wednesday 28 Oct, 8-10:30am. Noah, Isabel, and Tom are joining you, and with Isabel also loving crafts like you, you two will have plenty to chat about between casts.
Isabel: Isabel, your fishing morning at Lake Sawyer Regional Park is confirmed for Wednesday 28 Oct, 8-10:30am. You'll be with Noah, Liam, and Tom, and since Liam also really likes crafts, you'll have a nice common thread beyond the fishing lines. Noah is another Downtown retiree, so that's a familiar connection nearby.
Tom: Tom, you're set for early fishing at Lake Sawyer Regional Park on Wednesday 28 Oct, 8-10:30am. Noah, Liam, and Isabel will be there too, and as fellow retirees who all love fishing, this should be a relaxed, easy-going morning on the water.</t>
        </is>
      </c>
      <c r="Q22" s="14" t="inlineStr">
        <is>
          <t>T1 2026-10-28/g6</t>
        </is>
      </c>
      <c r="R22" s="14" t="inlineStr">
        <is>
          <t>proposed #221, plan #204, locked #505, messages #520</t>
        </is>
      </c>
    </row>
    <row r="23" ht="229" customHeight="1">
      <c r="A23" s="11" t="n">
        <v>22</v>
      </c>
      <c r="B23" s="11" t="inlineStr">
        <is>
          <t>T1
before fixes</t>
        </is>
      </c>
      <c r="C23" s="12" t="inlineStr">
        <is>
          <t>Wed 28 Oct
morning, 9:30am-11:30am</t>
        </is>
      </c>
      <c r="D23" s="13" t="inlineStr">
        <is>
          <t>Paddle Lake Sawyer
Lake Sawyer Regional Park boat launch
low cost, 4 people</t>
        </is>
      </c>
      <c r="E23" s="12" t="inlineStr">
        <is>
          <t>Emma, 71, retiree: loves kayaking
Donna, 61, remote worker: likes kayaking, is up for boating
Claire, 58, remote worker: loves kayaking
Amy, 39, remote worker: loves kayaking</t>
        </is>
      </c>
      <c r="F23" s="12" t="inlineStr">
        <is>
          <t>Four kayaking enthusiasts paddling together, a natural fit for a lake morning.</t>
        </is>
      </c>
      <c r="G23" s="12" t="inlineStr">
        <is>
          <t>Asked 4 times: 4 yes, 0 no, 0 counter.
Locked by code with 4 yes (needs 2+).</t>
        </is>
      </c>
      <c r="H23" s="12" t="inlineStr">
        <is>
          <t>Emma (round 1): YES
  Emma's free Wednesday morning and loves kayaking - paddling Lake Sawyer with a small neighbor group at low cost sounds perfect. Count her in!
Donna (round 1): YES
  Kayaking on Lake Sawyer Wednesday morning works great for Donna - she loves kayaking and that time is free, and a small group of four isn't the crowd she avoids.
Claire (round 1): YES
  Claire's free Wednesday morning and kayaking is one of her favorite activities—this sounds great, count her in.
Amy (round 1): YES
  Wednesday morning works perfectly for Amy's free schedule, kayaking is her favorite activity, and the low cost fits her budget too. She's in!</t>
        </is>
      </c>
      <c r="I23" s="12" t="inlineStr">
        <is>
          <t>None: every rule held.</t>
        </is>
      </c>
      <c r="J23" s="12" t="inlineStr">
        <is>
          <t>kayaking (Emma, Donna, Claire, Amy); craft beer (Donna, Claire, Amy); dog walks (Donna, Claire)</t>
        </is>
      </c>
      <c r="K23" s="11" t="inlineStr">
        <is>
          <t>Good</t>
        </is>
      </c>
      <c r="L23" s="12" t="inlineStr">
        <is>
          <t>Everyone is into kayaking (3 of 4 love it). No clashes.</t>
        </is>
      </c>
      <c r="M23" s="14" t="inlineStr">
        <is>
          <t>Rules (no AI call)</t>
        </is>
      </c>
      <c r="N23" s="15" t="n"/>
      <c r="O23" s="16" t="n"/>
      <c r="P23" s="17" t="inlineStr">
        <is>
          <t>Headline: Four paddlers, one calm morning on Lake Sawyer
Emma: Emma, you're set for Paddle Lake Sawyer on Wednesday 28 Oct, 9:30-11:30am at the Lake Sawyer Regional Park boat launch, paddling alongside Donna, Claire, and Amy. You all love kayaking, and with a quiet morning launch, it fits your preference for low-key, non-crowded settings perfectly.
Donna: Donna, your Paddle Lake Sawyer outing is confirmed for Wednesday 28 Oct, 9:30-11:30am at the Lake Sawyer Regional Park boat launch, joining Emma, Claire, and Amy. Kayaking is a shared love across the group, so you'll have plenty of paddling partners who are just as into it as you are.
Claire: Claire, you're in for Paddle Lake Sawyer this Wednesday 28 Oct, 9:30-11:30am at the Lake Sawyer Regional Park boat launch, with Emma, Donna, and Amy. You and Amy both love kayaking and craft beer, so there's a good chance the conversation keeps going well after the paddles are back on shore.
Amy: Amy, your group paddle is set for Wednesday 28 Oct, 9:30-11:30am at the Lake Sawyer Regional Park boat launch, alongside Emma, Donna, and Claire. You and Claire share a love of kayaking and craft beer, so expect easy company on the water and plenty to chat about afterward.</t>
        </is>
      </c>
      <c r="Q23" s="14" t="inlineStr">
        <is>
          <t>T1 2026-10-28/g7</t>
        </is>
      </c>
      <c r="R23" s="14" t="inlineStr">
        <is>
          <t>proposed #222, plan #204, locked #506, messages #522</t>
        </is>
      </c>
    </row>
    <row r="24" ht="229" customHeight="1">
      <c r="A24" s="11" t="n">
        <v>23</v>
      </c>
      <c r="B24" s="11" t="inlineStr">
        <is>
          <t>T1
before fixes</t>
        </is>
      </c>
      <c r="C24" s="12" t="inlineStr">
        <is>
          <t>Wed 28 Oct
morning, 8am-10am</t>
        </is>
      </c>
      <c r="D24" s="13" t="inlineStr">
        <is>
          <t>Birding walk at Lake Sawyer
Lake Sawyer Regional Park
free, 3 people</t>
        </is>
      </c>
      <c r="E24" s="12" t="inlineStr">
        <is>
          <t>Ron, 58, retiree: loves birding, likes photography
Aaliyah, 33, remote worker: likes photography [side interest]
Cody, 83, retiree: likes birding</t>
        </is>
      </c>
      <c r="F24" s="12" t="inlineStr">
        <is>
          <t>A small birding walk where all three share photography, so they'll swap shots as well as sightings.</t>
        </is>
      </c>
      <c r="G24" s="12" t="inlineStr">
        <is>
          <t>Asked 4 times: 3 yes, 1 no, 0 counter.
Locked by code with 3 yes (needs 2+).</t>
        </is>
      </c>
      <c r="H24" s="12" t="inlineStr">
        <is>
          <t>Ron (round 1): YES
  This is a great fit—Ron loves birding and is free Wednesday morning. Sign him up for the Lake Sawyer walk!
Ava (round 1): NO
  Birding isn't really Ava's thing—she's into photography but not nature walks like this, and it doesn't connect to her other interests (sports, beer, cards, running). I'll pass on this one.
Aaliyah (round 1): YES
  Wednesday morning works great for Aaliyah, and a calm, small-group birding walk pairs nicely with her love of photography—free cost fits her budget too. Count her in.
Cody (round 2): YES
  This is a great fit—Cody loves birding, it's free, in the morning when he's free on Wednesday, and a small quiet group suits him well. He'd be happy to join Ron and Aaliyah at Lake Sawyer!</t>
        </is>
      </c>
      <c r="I24" s="12" t="inlineStr">
        <is>
          <t>None: every rule held.</t>
        </is>
      </c>
      <c r="J24" s="12" t="inlineStr">
        <is>
          <t>birding (Ron, Cody); book club (Ron, Aaliyah); photography (Ron, Aaliyah); yoga (Ron, Aaliyah)</t>
        </is>
      </c>
      <c r="K24" s="11" t="inlineStr">
        <is>
          <t>OK</t>
        </is>
      </c>
      <c r="L24" s="12" t="inlineStr">
        <is>
          <t>Aaliyah is here for a side interest, not birding; ages 33 to 83.</t>
        </is>
      </c>
      <c r="M24" s="14" t="inlineStr">
        <is>
          <t>Rules (no AI call)</t>
        </is>
      </c>
      <c r="N24" s="15" t="n"/>
      <c r="O24" s="16" t="n"/>
      <c r="P24" s="17" t="inlineStr">
        <is>
          <t>Headline: Three Black Diamond neighbors, one lakeside morning with the birds
Ron: Ron, your birding walk at Lake Sawyer Regional Park is set for Wednesday 28 Oct, 8-10am. You'll be out there with Cody and Aaliyah — Cody's a fellow retiree who really likes birding too, so you two will have plenty to spot and chat about, and Aaliyah shares your love of photography if you bring a camera along.
Aaliyah: Aaliyah, you're confirmed for the birding walk at Lake Sawyer Regional Park, Wednesday 28 Oct from 8-10am. It's a small, quiet group with Ron and Cody, and since you and Ron both really like photography, it's a good excuse to bring your camera to a calm, uncrowded morning outdoors.
Cody: Cody, your birding walk at Lake Sawyer Regional Park is happening Wednesday 28 Oct, 8-10am. You'll be joined by Ron and Aaliyah, and Ron's love of birding matches yours perfectly — two retirees out early, looking for the same birds.</t>
        </is>
      </c>
      <c r="Q24" s="14" t="inlineStr">
        <is>
          <t>T1 2026-10-28/g8</t>
        </is>
      </c>
      <c r="R24" s="14" t="inlineStr">
        <is>
          <t>proposed #223, plan #204, locked #507, messages #524</t>
        </is>
      </c>
    </row>
    <row r="25" ht="229" customHeight="1">
      <c r="A25" s="11" t="n">
        <v>24</v>
      </c>
      <c r="B25" s="11" t="inlineStr">
        <is>
          <t>T1
before fixes</t>
        </is>
      </c>
      <c r="C25" s="12" t="inlineStr">
        <is>
          <t>Wed 28 Oct
afternoon, 2pm-4pm</t>
        </is>
      </c>
      <c r="D25" s="13" t="inlineStr">
        <is>
          <t>Mountain bike the Black Diamond Open Space
Black Diamond Open Space singletrack
free, 4 people</t>
        </is>
      </c>
      <c r="E25" s="12" t="inlineStr">
        <is>
          <t>Wyatt, 21, student: loves mountain biking
Aaliyah, 35, shift worker: loves mountain biking
Imani, 18, student: loves mountain biking
Donna, 19, shift worker: loves mountain biking</t>
        </is>
      </c>
      <c r="F25" s="12" t="inlineStr">
        <is>
          <t>Four young riders who all rate mountain biking 3, and a couple also share yoga.</t>
        </is>
      </c>
      <c r="G25" s="12" t="inlineStr">
        <is>
          <t>Asked 4 times: 4 yes, 0 no, 0 counter.
Locked by code with 4 yes (needs 2+).</t>
        </is>
      </c>
      <c r="H25" s="12" t="inlineStr">
        <is>
          <t>Wyatt (round 1): YES
  Wyatt's free Wednesday afternoon and mountain biking is one of his favorite activities, so this is a great fit. Count him in for the Black Diamond singletrack ride 2-4pm.
Aaliyah (round 1): YES
  Wednesday 2-4pm works great for Aaliyah - she's free that afternoon, mountain biking is her favorite, it's free, and a small group of 3 others isn't a crowd. She's in!
Imani (round 1): YES
  This is a great fit—Imani loves mountain biking, is free Wednesday afternoon, and it's free cost. Count them in!
Donna (round 1): YES
  Donna's free Wednesday afternoon and mountain biking is her top love—free group ride at Black Diamond Open Space 2-4pm is a great fit. Count her in!</t>
        </is>
      </c>
      <c r="I25" s="12" t="inlineStr">
        <is>
          <t>None: every rule held.</t>
        </is>
      </c>
      <c r="J25" s="12" t="inlineStr">
        <is>
          <t>mountain biking (Wyatt, Aaliyah, Imani, Donna); basketball (Wyatt, Imani); yoga (Aaliyah, Imani, Donna)</t>
        </is>
      </c>
      <c r="K25" s="11" t="inlineStr">
        <is>
          <t>Good</t>
        </is>
      </c>
      <c r="L25" s="12" t="inlineStr">
        <is>
          <t>Everyone is into mountain biking (4 of 4 love it). No clashes.</t>
        </is>
      </c>
      <c r="M25" s="14" t="inlineStr">
        <is>
          <t>Rules (no AI call)</t>
        </is>
      </c>
      <c r="N25" s="15" t="n"/>
      <c r="O25" s="16" t="n"/>
      <c r="P25" s="17" t="inlineStr">
        <is>
          <t>Headline: Four mountain bikers hit the Black Diamond Open Space singletrack
Wyatt: Wyatt, your small group is set for the Black Diamond Open Space singletrack on Wednesday 28 Oct, 2-4pm. You'll be riding with Aaliyah, Imani, and Donna, all of whom love mountain biking just as much as you do. Imani also shares your love of basketball, so you two will have plenty to talk about besides the trail.
Aaliyah: Aaliyah, you're confirmed for the mountain bike ride at Black Diamond Open Space singletrack this Wednesday 28 Oct, 2-4pm. Joining you are Wyatt, Imani, and Donna, a small group who all love mountain biking as much as you do. Imani also practices yoga, so you'll have that in common off the bike too.
Imani: Imani, your group ride at Black Diamond Open Space singletrack is set for Wednesday 28 Oct, 2-4pm. You'll be out with Wyatt, Aaliyah, and Donna, fellow mountain biking lovers, and Wyatt shares your enthusiasm for basketball too. Donna also loves yoga like you, so there's extra common ground beyond the trail.
Donna: Donna, you're confirmed for the Black Diamond Open Space singletrack ride on Wednesday 28 Oct, 2-4pm. You'll be riding alongside Wyatt, Aaliyah, and Imani, all mountain biking lovers like you, and Imani shares your love of yoga too. As a fellow 19-year-old shift worker, you and Imani may also find you're at a similar stage of life.</t>
        </is>
      </c>
      <c r="Q25" s="14" t="inlineStr">
        <is>
          <t>T1 2026-10-28/g9</t>
        </is>
      </c>
      <c r="R25" s="14" t="inlineStr">
        <is>
          <t>proposed #224, plan #204, locked #508, messages #526</t>
        </is>
      </c>
    </row>
    <row r="26" ht="244" customHeight="1">
      <c r="A26" s="11" t="n">
        <v>25</v>
      </c>
      <c r="B26" s="11" t="inlineStr">
        <is>
          <t>T1
before fixes</t>
        </is>
      </c>
      <c r="C26" s="12" t="inlineStr">
        <is>
          <t>Wed 28 Oct
evening, 6pm-7:30pm</t>
        </is>
      </c>
      <c r="D26" s="13" t="inlineStr">
        <is>
          <t>Evening walk on the Ten Trails paths
Ten Trails trail network
free, 4 people</t>
        </is>
      </c>
      <c r="E26" s="12" t="inlineStr">
        <is>
          <t>Isabel, 23, commuter: loves running, likes hiking, loves dog walks
Dylan, 58, commuter: loves running, loves hiking [side interest]
Mateo, 59, commuter: likes running, likes hiking [side interest]
Amy, 49, commuter: is up for hiking, loves running [side interest]</t>
        </is>
      </c>
      <c r="F26" s="12" t="inlineStr">
        <is>
          <t>Four runners and hikers who also enjoy getting outdoors, a brisk evening loop with easy conversation.</t>
        </is>
      </c>
      <c r="G26" s="12" t="inlineStr">
        <is>
          <t>Asked 4 times: 4 yes, 0 no, 0 counter.
Locked by code with 4 yes (needs 2+).</t>
        </is>
      </c>
      <c r="H26" s="12" t="inlineStr">
        <is>
          <t>Isabel (round 1): YES
  Wednesday evening works great for Isabel — free, matches her love of hiking/trails, and small neighbor group isn't a competitive crowd. She's in!
Dylan (round 1): YES
  This works well for Dylan—Wednesday evening is free, it's free of charge, and a walk on the local trails fits his love of hiking perfectly. Count him in.
Mateo (round 1): YES
  Wednesday evening works great for Mateo - he's free then and loves hiking/running, plus the craft beer after sounds like a nice bonus. Count him in.
Amy (round 1): YES
  Wednesday evening works great for Amy's free schedule, and a casual neighborhood walk fits her love of being active without being competitive. Free cost is fine too, so this is a yes!</t>
        </is>
      </c>
      <c r="I26" s="12" t="inlineStr">
        <is>
          <t>None: every rule held.</t>
        </is>
      </c>
      <c r="J26" s="12" t="inlineStr">
        <is>
          <t>running (Isabel, Dylan, Mateo, Amy); hiking (Isabel, Dylan, Mateo, Amy); live music (Isabel, Amy); craft beer (Isabel, Mateo); baseball (Isabel, Amy); golf (Dylan, Mateo)</t>
        </is>
      </c>
      <c r="K26" s="11" t="inlineStr">
        <is>
          <t>OK</t>
        </is>
      </c>
      <c r="L26" s="12" t="inlineStr">
        <is>
          <t>Dylan, mateo, amy are here for a side interest, not dog walks.</t>
        </is>
      </c>
      <c r="M26" s="14" t="inlineStr">
        <is>
          <t>Rules (no AI call)</t>
        </is>
      </c>
      <c r="N26" s="15" t="n"/>
      <c r="O26" s="16" t="n"/>
      <c r="P26" s="17" t="inlineStr">
        <is>
          <t>Headline: Four Ten Trails regulars are set for a Wednesday evening walk on the trails they already love
Isabel: Isabel, your Ten Trails evening walk is confirmed for Wednesday 28 Oct, 6-7:30pm. You'll be walking with Dylan, Mateo, and Amy — all runners and hikers like you, so the pace and trail chat should click right away.
Dylan: Dylan, you're set for the Ten Trails evening walk this Wednesday 28 Oct, 6-7:30pm. You'll be joined by Isabel, Mateo, and Amy, all fellow runners and hikers who'll keep things easygoing on the trail.
Mateo: Mateo, your evening walk on the Ten Trails paths is confirmed for Wednesday 28 Oct, 6-7:30pm. Isabel, Dylan, and Amy are joining you — another group of running and hiking enthusiasts, so the miles should fly by.
Amy: Amy, you're confirmed for the Ten Trails evening walk on Wednesday 28 Oct, 6-7:30pm. Isabel, Dylan, and Mateo will be there too, all sharing your love of running and hiking, so expect a relaxed, friendly pace.</t>
        </is>
      </c>
      <c r="Q26" s="14" t="inlineStr">
        <is>
          <t>T1 2026-10-28/g10</t>
        </is>
      </c>
      <c r="R26" s="14" t="inlineStr">
        <is>
          <t>proposed #225, plan #204, locked #509, messages #528</t>
        </is>
      </c>
    </row>
    <row r="27" ht="259" customHeight="1">
      <c r="A27" s="11" t="n">
        <v>26</v>
      </c>
      <c r="B27" s="11" t="inlineStr">
        <is>
          <t>T1
before fixes</t>
        </is>
      </c>
      <c r="C27" s="12" t="inlineStr">
        <is>
          <t>Sat 31 Oct
evening, 7pm-9:30pm</t>
        </is>
      </c>
      <c r="D27" s="13" t="inlineStr">
        <is>
          <t>Kraken hockey night
Black Diamond Grill
low cost, 4 people</t>
        </is>
      </c>
      <c r="E27" s="12" t="inlineStr">
        <is>
          <t>Cody, 25, commuter: loves dining, loves watch sports
Rosa, 43, commuter: loves craft beer, loves watch sports
Ava, 29, commuter: likes watch sports, loves craft beer
Nikhil, 37, commuter: loves watch sports</t>
        </is>
      </c>
      <c r="F27" s="12" t="inlineStr">
        <is>
          <t>Four of the keenest sports watchers who also like beer and golf, sharing a table for the game.</t>
        </is>
      </c>
      <c r="G27" s="12" t="inlineStr">
        <is>
          <t>Asked 4 times: 4 yes, 0 no, 0 counter.
Locked by code with 4 yes (needs 2+).</t>
        </is>
      </c>
      <c r="H27" s="12" t="inlineStr">
        <is>
          <t>Cody (round 1): YES
  Saturday evening works great for Cody, and watch sports plus dining at a grill with fellow golf fans sounds perfect. Count Cody in for Kraken night at Black Diamond Grill.
Rosa (round 1): YES
  Rosa loves watching sports and craft beer, Saturday evening is free, and low-cost fits her budget—she's in for Kraken hockey night at Black Diamond Grill!
Ava (round 1): YES
  Saturday evening is free for Ava, and watching the Kraken with craft beer and a small group sounds right up her alley—ending at 9:30pm is fine, not a late night. Let's lock it in!
Nikhil (round 1): YES
  Saturday evening works great for Nikhil, and watching the Kraken with fellow sports fans at a low-cost spot is right up his alley. 9:30pm finish is fine since he's free all evening with no early morning after.</t>
        </is>
      </c>
      <c r="I27" s="12" t="inlineStr">
        <is>
          <t>• Medium: e117's agent said yes to 2026-10-31/g1 although code told it: It runs to 9pm or later, and Ava avoids late nights.
• Medium: e001's agent said yes to 2026-10-31/g1 although code told it: It runs to 9pm or later, and Nikhil avoids late nights.
• Medium: e117 is locked into 2026-10-31/g1 (Kraken hockey night, 7pm-9:30pm): It runs to 9pm or later, and Ava avoids late nights.
• Medium: e001 is locked into 2026-10-31/g1 (Kraken hockey night, 7pm-9:30pm): It runs to 9pm or later, and Nikhil avoids late nights.</t>
        </is>
      </c>
      <c r="J27" s="12" t="inlineStr">
        <is>
          <t>golf (Cody, Rosa, Nikhil); watch sports (Cody, Rosa, Ava, Nikhil); hiking (Cody, Rosa); craft beer (Rosa, Ava)</t>
        </is>
      </c>
      <c r="K27" s="11" t="inlineStr">
        <is>
          <t>Weak</t>
        </is>
      </c>
      <c r="L27" s="12" t="inlineStr">
        <is>
          <t>The group is a sensible sports-watching table and the proposal, resolution and final messages are clean, but half of it rests on two agents saying yes to a late-night conflict code explicitly showed them. Ava's agent simply redefined 9:30pm as 'not a late night', and Nikhil's agent accepted 9:30pm after having countered a 9pm end as too late earlier in the run, while citing a 'no early morning after' that the calendar does not support. The matchmaker then locked the group without addressing either flag.</t>
        </is>
      </c>
      <c r="M27" s="14" t="inlineStr">
        <is>
          <t>Fable 5.1 audit</t>
        </is>
      </c>
      <c r="N27" s="15" t="n"/>
      <c r="O27" s="16" t="n"/>
      <c r="P27" s="17" t="inlineStr">
        <is>
          <t>Headline: Four Kraken fans, one table at Black Diamond Grill — puck drops Saturday 10/31 at 7pm
Cody: Cody, your small group for Kraken night at Black Diamond Grill is set for Saturday 10/31, 7-9:30pm. You'll be with Rosa, Ava, and Nikhil — Rosa's another golfer and hiker like you, so between periods you'll have plenty to talk about.
Rosa: Rosa, you're confirmed for Kraken hockey night at Black Diamond Grill, Saturday 10/31 from 7-9:30pm, alongside Cody, Ava, and Nikhil. Ava's also a craft beer lover who's into watching sports, so you two should hit it off over a pint during the game.
Ava: Ava, your group is locked in for Kraken night at Black Diamond Grill this Saturday 10/31, 7-9:30pm, with Cody, Rosa, and Nikhil. Rosa shares your love of craft beer and watching sports, so you've got a built-in game buddy.
Nikhil: Nikhil, you're set for Kraken hockey night at Black Diamond Grill on Saturday 10/31 from 7-9:30pm with Cody, Rosa, and Ava. Cody's also big on golf and watching sports, so you two will have plenty to chat about during the game.</t>
        </is>
      </c>
      <c r="Q27" s="14" t="inlineStr">
        <is>
          <t>T1 2026-10-31/g1</t>
        </is>
      </c>
      <c r="R27" s="14" t="inlineStr">
        <is>
          <t>proposed #545, plan #533, locked #791, messages #801</t>
        </is>
      </c>
    </row>
    <row r="28" ht="289" customHeight="1">
      <c r="A28" s="11" t="n">
        <v>27</v>
      </c>
      <c r="B28" s="11" t="inlineStr">
        <is>
          <t>T1
before fixes</t>
        </is>
      </c>
      <c r="C28" s="12" t="inlineStr">
        <is>
          <t>Sat 31 Oct
evening, 7pm-10pm</t>
        </is>
      </c>
      <c r="D28" s="13" t="inlineStr">
        <is>
          <t>Live music in the beer garden
The Vault Taphouse &amp; Beer Garden
low cost, 5 people</t>
        </is>
      </c>
      <c r="E28" s="12" t="inlineStr">
        <is>
          <t>Hannah, 26, commuter: loves craft beer, likes live music
Angelica, 51, commuter: likes craft beer, loves live music
Steve, 37, shift worker: likes craft beer, loves live music
Linda, 33, commuter: likes craft beer, loves live music
Susan, 47, commuter: likes live music, likes craft beer</t>
        </is>
      </c>
      <c r="F28" s="12" t="inlineStr">
        <is>
          <t>Live-music fans who all enjoy craft beer, gathering for the Vault's beer garden show.</t>
        </is>
      </c>
      <c r="G28" s="12" t="inlineStr">
        <is>
          <t>Asked 5 times: 5 yes, 0 no, 0 counter.
Locked by code with 5 yes (needs 2+).</t>
        </is>
      </c>
      <c r="H28" s="12" t="inlineStr">
        <is>
          <t>Hannah (round 1): YES
  This is a great fit — Hannah loves craft beer and really likes live music, Saturday evening is free, and the low-cost, easygoing neighbor group suits her perfectly. Count her in!
Angelica (round 1): YES
  Saturday evening works great—live music and craft beer in a beer garden is right up Angelica's alley, and it's low-cost and within her free evening. Count her in!
Steve (round 1): YES
  This is a great fit — Steve's free Saturday evening, and live music plus craft beer with a small neighbor group hits exactly what he loves. Count him in.
Linda (round 1): YES
  This is a great fit—Linda loves live music and craft beer, she's free Saturday evening, and it's low-cost. Count her in!
Susan (round 1): YES
  Saturday evening works great for Susan — live music and craft beer in a low-key beer garden setting is right up her alley, and it's low-cost. Count her in!</t>
        </is>
      </c>
      <c r="I28" s="12" t="inlineStr">
        <is>
          <t>None: every rule held.</t>
        </is>
      </c>
      <c r="J28" s="12" t="inlineStr">
        <is>
          <t>craft beer (Hannah, Angelica, Steve, Linda, Susan); live music (Hannah, Angelica, Steve, Linda, Susan); dining (Angelica, Linda)</t>
        </is>
      </c>
      <c r="K28" s="11" t="inlineStr">
        <is>
          <t>Good</t>
        </is>
      </c>
      <c r="L28" s="12" t="inlineStr">
        <is>
          <t>Everyone is into live music (3 of 5 love it). No clashes.</t>
        </is>
      </c>
      <c r="M28" s="14" t="inlineStr">
        <is>
          <t>Rules (no AI call)</t>
        </is>
      </c>
      <c r="N28" s="15" t="n"/>
      <c r="O28" s="16" t="n"/>
      <c r="P28" s="17" t="inlineStr">
        <is>
          <t>Headline: Five craft beer lovers are claiming a table at The Vault's beer garden for live music night
Hannah: Hannah, your small group is set for live music in the beer garden at The Vault Taphouse, Saturday 10/31, 7-10pm. You'll be with Angelica, Steve, Linda, and Susan — all craft beer lovers like you, so expect some good pours and good conversation between sets.
Angelica: Angelica, you're confirmed for live music in the beer garden at The Vault Taphouse this Saturday 10/31, 7-10pm. Joining you are Hannah, Steve, Linda, and Susan, and you've all got craft beer and live music as shared favorites — an easy match for a Saturday night out.
Steve: Steve, your group is locked in for live music at The Vault Taphouse beer garden, Saturday 10/31, 7-10pm. You'll meet Hannah, Angelica, Linda, and Susan, all fellow craft beer fans, so there should be plenty to talk about between the music and the taps.
Linda: Linda, you're all set for live music in the beer garden at The Vault Taphouse, Saturday 10/31, 7-10pm. You'll be with Hannah, Angelica, Steve, and Susan — everyone in this group loves craft beer and live music, so it should feel easy from the start.
Susan: Susan, your evening is confirmed: live music in the beer garden at The Vault Taphouse, Saturday 10/31, 7-10pm. You'll be joined by Hannah, Angelica, Steve, and Linda, all craft beer lovers too, making for a relaxed night built around shared taste.</t>
        </is>
      </c>
      <c r="Q28" s="14" t="inlineStr">
        <is>
          <t>T1 2026-10-31/g2</t>
        </is>
      </c>
      <c r="R28" s="14" t="inlineStr">
        <is>
          <t>proposed #546, plan #533, locked #792, messages #803</t>
        </is>
      </c>
    </row>
    <row r="29" ht="154" customHeight="1">
      <c r="A29" s="11" t="n">
        <v>28</v>
      </c>
      <c r="B29" s="11" t="inlineStr">
        <is>
          <t>T1
before fixes</t>
        </is>
      </c>
      <c r="C29" s="12" t="inlineStr">
        <is>
          <t>Sat 31 Oct
evening, 6:30pm-8:30pm</t>
        </is>
      </c>
      <c r="D29" s="13" t="inlineStr">
        <is>
          <t>Brewpub dinner at Big Block
Big Block Brewery, Black Diamond
mid cost, 3 people</t>
        </is>
      </c>
      <c r="E29" s="12" t="inlineStr">
        <is>
          <t>Olivia, 52, commuter: loves craft beer, loves dining
Cody, 40, shift worker: loves craft beer
Sarah, 63, commuter: likes dining [side interest]</t>
        </is>
      </c>
      <c r="F29" s="12" t="inlineStr">
        <is>
          <t>Dining and craft-beer lovers around a small table for good conversation.</t>
        </is>
      </c>
      <c r="G29" s="12" t="inlineStr">
        <is>
          <t>Asked 3 times: 3 yes, 0 no, 0 counter.
Locked by code with 3 yes (needs 2+).</t>
        </is>
      </c>
      <c r="H29" s="12" t="inlineStr">
        <is>
          <t>Olivia (round 1): YES
  This fits Olivia perfectly—Saturday evening is free, and craft beer plus dining with a small neighborly group is exactly her thing. Count her in!
Cody (round 1): YES
  Saturday evening works great for Cody and craft beer at a brewpub with neighbors sounds right up his alley — count him in.
Sarah (round 1): YES
  Saturday evening works well for Sarah, and she loves dining out, so a brewpub dinner with neighbors sounds great. Count her in.</t>
        </is>
      </c>
      <c r="I29" s="12" t="inlineStr">
        <is>
          <t>None: every rule held.</t>
        </is>
      </c>
      <c r="J29" s="12" t="inlineStr">
        <is>
          <t>craft beer (Olivia, Cody); running (Olivia, Sarah); dining (Olivia, Sarah); hiking (Cody, Sarah)</t>
        </is>
      </c>
      <c r="K29" s="11" t="inlineStr">
        <is>
          <t>OK</t>
        </is>
      </c>
      <c r="L29" s="12" t="inlineStr">
        <is>
          <t>Sarah is here for a side interest, not craft beer.</t>
        </is>
      </c>
      <c r="M29" s="14" t="inlineStr">
        <is>
          <t>Rules (no AI call)</t>
        </is>
      </c>
      <c r="N29" s="15" t="n"/>
      <c r="O29" s="16" t="n"/>
      <c r="P29" s="17" t="inlineStr">
        <is>
          <t>Headline: Three Black Diamond regulars, one table at Big Block.
Olivia: Olivia, your group is set for Big Block Brewery this Saturday 10/31, 6:30-8:30pm, alongside Cody and Sarah. You and Cody both love craft beer, so the tap list should spark some good conversation, and Sarah's right there with you as a fellow dining enthusiast.
Cody: Cody, you're confirmed for a brewpub dinner at Big Block Brewery on Saturday 10/31, 6:30-8:30pm, joining Olivia and Sarah. You and Olivia share a real love of craft beer, which should make for an easy start to the night over Big Block's menu.
Sarah: Sarah, your small group dinner at Big Block Brewery is locked in for Saturday 10/31, 6:30-8:30pm, with Olivia and Cody. You and Olivia both love dining out and running, so you'll have plenty to talk about between courses.</t>
        </is>
      </c>
      <c r="Q29" s="14" t="inlineStr">
        <is>
          <t>T1 2026-10-31/g3</t>
        </is>
      </c>
      <c r="R29" s="14" t="inlineStr">
        <is>
          <t>proposed #547, plan #533, locked #793, messages #805</t>
        </is>
      </c>
    </row>
    <row r="30" ht="244" customHeight="1">
      <c r="A30" s="11" t="n">
        <v>29</v>
      </c>
      <c r="B30" s="11" t="inlineStr">
        <is>
          <t>T1
before fixes</t>
        </is>
      </c>
      <c r="C30" s="12" t="inlineStr">
        <is>
          <t>Sat 31 Oct
afternoon, 1pm-3:30pm</t>
        </is>
      </c>
      <c r="D30" s="13" t="inlineStr">
        <is>
          <t>Franklin ghost town hike
Franklin ghost town trail, Green River Gorge Rd
free, 4 people</t>
        </is>
      </c>
      <c r="E30" s="12" t="inlineStr">
        <is>
          <t>Imani, 52, remote worker: likes hiking, loves history
Carlos, 61, retiree: likes history, loves hiking
Paolo, 37, parent at home: loves history [side interest]
Ryan, 78, retiree: loves history [side interest]</t>
        </is>
      </c>
      <c r="F30" s="12" t="inlineStr">
        <is>
          <t>History lovers exploring the Franklin ghost town together, so the ruins give them plenty to share.</t>
        </is>
      </c>
      <c r="G30" s="12" t="inlineStr">
        <is>
          <t>Asked 4 times: 4 yes, 0 no, 0 counter.
Locked by code with 4 yes (needs 2+).</t>
        </is>
      </c>
      <c r="H30" s="12" t="inlineStr">
        <is>
          <t>Imani (round 1): YES
  This is a great fit—Imani loves hiking and history, Saturday afternoon is open, it's free, and a small neighbor group sounds low-key and not loud. Count Imani in!
Carlos (round 1): YES
  Saturday afternoon works great for Carlos - hiking plus history and a small group fits him perfectly. He's in for the Franklin ghost town hike.
Paolo (round 1): YES
  This fits perfectly—Paolo's free Saturday afternoon, it's free, history-themed, and a non-competitive casual hike with neighbors. He's in!
Ryan (round 1): YES
  Saturday afternoon works great for Ryan, and a history-focused walk to an old mining town sounds right up his alley. Free is perfect for his budget too — he's in.</t>
        </is>
      </c>
      <c r="I30" s="12" t="inlineStr">
        <is>
          <t>None: every rule held.</t>
        </is>
      </c>
      <c r="J30" s="12" t="inlineStr">
        <is>
          <t>hiking (Imani, Carlos); history (Imani, Carlos, Paolo, Ryan)</t>
        </is>
      </c>
      <c r="K30" s="11" t="inlineStr">
        <is>
          <t>OK</t>
        </is>
      </c>
      <c r="L30" s="12" t="inlineStr">
        <is>
          <t>Paolo, ryan are here for a side interest, not hiking; ages 37 to 78.</t>
        </is>
      </c>
      <c r="M30" s="14" t="inlineStr">
        <is>
          <t>Rules (no AI call)</t>
        </is>
      </c>
      <c r="N30" s="15" t="n"/>
      <c r="O30" s="16" t="n"/>
      <c r="P30" s="17" t="inlineStr">
        <is>
          <t>Headline: Four Black Diamond history buffs are headed to the Franklin ghost town trail
Imani: Imani, your small group for the Franklin ghost town hike is set for Saturday 31 Oct, 1-3:30pm at the Franklin ghost town trail on Green River Gorge Rd. You'll be with Carlos, Paolo, and Ryan — you all share a real love of history, so the ghost town ruins should make for great conversation along the trail.
Carlos: Carlos, you're confirmed for the Franklin ghost town hike this Saturday 31 Oct, 1-3:30pm on Green River Gorge Rd. Joining you are Imani, Paolo, and Ryan, all fellow history lovers, so the old townsite's past should spark plenty of shared interest as you walk.
Paolo: Paolo, your hike to the Franklin ghost town is happening Saturday 31 Oct, 1-3:30pm at the trail on Green River Gorge Rd, and it's free, which fits your budget. You'll be with Imani, Carlos, and Ryan, and you've all got a love of history in common, so the ruins should give you plenty to talk about.
Ryan: Ryan, you're set for the Franklin ghost town hike Saturday 31 Oct, 1-3:30pm on Green River Gorge Rd. You'll be hiking with Imani, Carlos, and Paolo — all of you share a love of history, so exploring the old town site together should be a natural fit.</t>
        </is>
      </c>
      <c r="Q30" s="14" t="inlineStr">
        <is>
          <t>T1 2026-10-31/g4</t>
        </is>
      </c>
      <c r="R30" s="14" t="inlineStr">
        <is>
          <t>proposed #548, plan #533, locked #794, messages #807</t>
        </is>
      </c>
    </row>
    <row r="31" ht="244" customHeight="1">
      <c r="A31" s="11" t="n">
        <v>30</v>
      </c>
      <c r="B31" s="11" t="inlineStr">
        <is>
          <t>T1
before fixes</t>
        </is>
      </c>
      <c r="C31" s="12" t="inlineStr">
        <is>
          <t>Sat 31 Oct
afternoon, 1:30pm-4pm</t>
        </is>
      </c>
      <c r="D31" s="13" t="inlineStr">
        <is>
          <t>Green River Gorge hike
Green River Gorge Conservation Area
free, 4 people</t>
        </is>
      </c>
      <c r="E31" s="12" t="inlineStr">
        <is>
          <t>Wei, 43, parent at home: likes hiking, loves photography
Susan, 54, remote worker: loves hiking, likes photography
Paige, 54, remote worker: loves photography [side interest]
Chris, 56, remote worker: loves photography [side interest]</t>
        </is>
      </c>
      <c r="F31" s="12" t="inlineStr">
        <is>
          <t>Photography-loving hikers taking on the Gorge, a perfect place to shoot and talk cameras.</t>
        </is>
      </c>
      <c r="G31" s="12" t="inlineStr">
        <is>
          <t>Asked 4 times: 4 yes, 0 no, 0 counter.
Locked by code with 4 yes (needs 2+).</t>
        </is>
      </c>
      <c r="H31" s="12" t="inlineStr">
        <is>
          <t>Wei (round 1): YES
  This is a great fit—Wei loves hiking and photography, it's free, falls in Saturday's open afternoon, and a small neighbor group beats a crowd. Count Wei in for the Green River Gorge hike!
Susan (round 1): YES
  Saturday afternoon works great for Susan—free, aligns with her love of hiking and photography, and fits her open calendar slot. She's in!
Paige (round 1): YES
  Saturday afternoon works great for Paige, and a photography-focused hike with neighbors fits her love of photography perfectly. Free and no long drive mentioned, so count her in!
Chris (round 1): YES
  This works well—Chris is free Saturday afternoon, loves photography, it's free, and a small neighborly group with great views sounds like a nice, low-key outing. Count Chris in.</t>
        </is>
      </c>
      <c r="I31" s="12" t="inlineStr">
        <is>
          <t>None: every rule held.</t>
        </is>
      </c>
      <c r="J31" s="12" t="inlineStr">
        <is>
          <t>farmers market (Wei, Wei); hiking (Wei, Susan); photography (Wei, Susan, Paige, Chris); coffee (Paige, Chris); kayaking (Paige, Chris); crafts (Paige, Chris)</t>
        </is>
      </c>
      <c r="K31" s="11" t="inlineStr">
        <is>
          <t>OK</t>
        </is>
      </c>
      <c r="L31" s="12" t="inlineStr">
        <is>
          <t>Paige, chris are here for a side interest, not hiking.</t>
        </is>
      </c>
      <c r="M31" s="14" t="inlineStr">
        <is>
          <t>Rules (no AI call)</t>
        </is>
      </c>
      <c r="N31" s="15" t="n"/>
      <c r="O31" s="16" t="n"/>
      <c r="P31" s="17" t="inlineStr">
        <is>
          <t>Headline: Four photography lovers hit the trail at Green River Gorge
Wei: Wei, your small group for the Green River Gorge hike is set for Saturday 10/31, 1:30-4pm at Green River Gorge Conservation Area! You'll be out with Susan, Paige, and Chris, and you've all got photography on your list, so expect some trail stops for good shots. Susan also shares your love of hiking, which should make for an easy-paced group.
Susan: Susan, you're confirmed for the Green River Gorge hike this Saturday, 10/31 from 1:30-4pm at Green River Gorge Conservation Area, alongside Wei, Paige, and Chris. You and Wei both love hiking, and the whole crew shares a thing for photography, so there'll be plenty of moments to pause and capture the gorge views.
Paige: Paige, your group for the Green River Gorge hike is locked in for Saturday 10/31, 1:30-4pm at Green River Gorge Conservation Area, with Wei, Susan, and Chris joining you. You and Chris are both remote workers who love photography, so you'll have good company for slowing down and taking in the scenery.
Chris: Chris, you're all set for the Green River Gorge hike this Saturday, 10/31, 1:30-4pm at Green River Gorge Conservation Area, meeting up with Wei, Susan, and Paige. You and Paige both work remotely and love photography, so the trail should give you plenty to stop and shoot along the way.</t>
        </is>
      </c>
      <c r="Q31" s="14" t="inlineStr">
        <is>
          <t>T1 2026-10-31/g5</t>
        </is>
      </c>
      <c r="R31" s="14" t="inlineStr">
        <is>
          <t>proposed #549, plan #533, locked #795, messages #809</t>
        </is>
      </c>
    </row>
    <row r="32" ht="199" customHeight="1">
      <c r="A32" s="11" t="n">
        <v>31</v>
      </c>
      <c r="B32" s="11" t="inlineStr">
        <is>
          <t>T1
before fixes</t>
        </is>
      </c>
      <c r="C32" s="12" t="inlineStr">
        <is>
          <t>Sat 31 Oct
evening, 5:30pm-6:30pm</t>
        </is>
      </c>
      <c r="D32" s="13" t="inlineStr">
        <is>
          <t>Dog walk around the park
Lake Sawyer Regional Park
free, 4 people</t>
        </is>
      </c>
      <c r="E32" s="12" t="inlineStr">
        <is>
          <t>Isabel, 23, commuter: loves dog walks
Claire, 24, student: loves dog walks
Nora, 60, commuter: loves dog walks
Nora, 29, shift worker: loves dog walks</t>
        </is>
      </c>
      <c r="F32" s="12" t="inlineStr">
        <is>
          <t>Four keen dog walkers looping Lake Sawyer park, a natural way to meet.</t>
        </is>
      </c>
      <c r="G32" s="12" t="inlineStr">
        <is>
          <t>Asked 4 times: 4 yes, 0 no, 0 counter.
Locked by code with 4 yes (needs 2+).</t>
        </is>
      </c>
      <c r="H32" s="12" t="inlineStr">
        <is>
          <t>Isabel (round 1): YES
  Saturday evening works great for Isabel — she loves dog walks, it's free, and a small neighborly group sounds relaxed rather than crowded. Count her in!
Claire (round 1): YES
  Saturday evening works great for Claire — she's free then, loves dog walks, and it's free. Count her in!
Nora (round 1): YES
  Saturday 5:30-6:30pm works great for Nora — free evening, dog walk is right up her alley, and it's free. Count her in.
Nora (round 1): YES
  Nora's free Saturday evening and loves dog walks — this fits perfectly, she's in for the Lake Sawyer walk at 5:30pm.</t>
        </is>
      </c>
      <c r="I32" s="12" t="inlineStr">
        <is>
          <t>None: every rule held.</t>
        </is>
      </c>
      <c r="J32" s="12" t="inlineStr">
        <is>
          <t>running (Isabel, Nora); hiking (Isabel, Nora); craft beer (Isabel, Nora); dog walks (Isabel, Claire, Nora, Nora)</t>
        </is>
      </c>
      <c r="K32" s="11" t="inlineStr">
        <is>
          <t>Good</t>
        </is>
      </c>
      <c r="L32" s="12" t="inlineStr">
        <is>
          <t>Everyone is into dog walks (4 of 4 love it). No clashes.</t>
        </is>
      </c>
      <c r="M32" s="14" t="inlineStr">
        <is>
          <t>Rules (no AI call)</t>
        </is>
      </c>
      <c r="N32" s="15" t="n"/>
      <c r="O32" s="16" t="n"/>
      <c r="P32" s="17" t="inlineStr">
        <is>
          <t>Headline: Four dog walkers, one lakeside stroll — Lake Sawyer Regional Park, Sat Oct 31 at 5:30pm
Isabel: Hey Isabel, your dog walk group is set for Saturday 10/31, 5:30-6:30pm at Lake Sawyer Regional Park. You'll be walking with Claire, Nora B., and Nora P. — Nora B. is another Lake Sawyer commuter who's also big on running, hiking, and craft beer, so you two should hit it off right away.
Claire: Hi Claire, you're confirmed for the dog walk at Lake Sawyer Regional Park this Saturday, 10/31 from 5:30-6:30pm, alongside Isabel, Nora B., and Nora P. Everyone in the group shares your love of dog walks, so it's a laid-back crew to kick off the weekend with.
Nora: Hi Nora B., your group dog walk is happening Saturday 10/31, 5:30-6:30pm at Lake Sawyer Regional Park with Isabel, Claire, and Nora P. Isabel's another Lake Sawyer commuter who loves running, hiking, and craft beer just like you, so you'll have plenty to chat about on the trail.
Nora: Hey Nora P., you're set for the Lake Sawyer Regional Park dog walk on Saturday 10/31, 5:30-6:30pm, meeting Isabel, Claire, and Nora B. Dog walks are the one thing everyone in this group loves, so it's an easy, friendly start even with different schedules like your shift work.</t>
        </is>
      </c>
      <c r="Q32" s="14" t="inlineStr">
        <is>
          <t>T1 2026-10-31/g6</t>
        </is>
      </c>
      <c r="R32" s="14" t="inlineStr">
        <is>
          <t>proposed #550, plan #533, locked #796, messages #811</t>
        </is>
      </c>
    </row>
    <row r="33" ht="214" customHeight="1">
      <c r="A33" s="11" t="n">
        <v>32</v>
      </c>
      <c r="B33" s="11" t="inlineStr">
        <is>
          <t>T1
before fixes</t>
        </is>
      </c>
      <c r="C33" s="12" t="inlineStr">
        <is>
          <t>Sat 31 Oct
morning, 9am-10:30am</t>
        </is>
      </c>
      <c r="D33" s="13" t="inlineStr">
        <is>
          <t>Pickleball doubles
public courts in Maple Valley
free, 4 people</t>
        </is>
      </c>
      <c r="E33" s="12" t="inlineStr">
        <is>
          <t>Olivia, 36, commuter: loves pickleball
Hana, 53, commuter: loves pickleball
Kevin, 30, commuter: loves pickleball
Quinn, 49, commuter: loves pickleball</t>
        </is>
      </c>
      <c r="F33" s="12" t="inlineStr">
        <is>
          <t>Four pickleball enthusiasts make a perfect doubles foursome.</t>
        </is>
      </c>
      <c r="G33" s="12" t="inlineStr">
        <is>
          <t>Asked 4 times: 4 yes, 0 no, 0 counter.
Locked by code with 4 yes (needs 2+).</t>
        </is>
      </c>
      <c r="H33" s="12" t="inlineStr">
        <is>
          <t>Olivia (round 1): YES
  This is a great fit—Olivia loves pickleball, it's free, and Saturday morning works perfectly with her schedule. Count her in!
Hana (round 1): YES
  Saturday morning pickleball works great for Hana — she's free then, loves the game, it's free, and outdoor courts in the morning fit her preference for avoiding loud/late settings. Count her in!
Kevin (round 1): YES
  Saturday 9-10:30am works great for Kevin, he's free that morning and loves pickleball—count him in for the doubles at Maple Valley courts.
Quinn (round 1): YES
  Quinn's free Saturday morning and loves pickleball, plus it's free at public courts—count them in for doubles at 9am!</t>
        </is>
      </c>
      <c r="I33" s="12" t="inlineStr">
        <is>
          <t>None: every rule held.</t>
        </is>
      </c>
      <c r="J33" s="12" t="inlineStr">
        <is>
          <t>pickleball (Olivia, Hana, Kevin, Quinn); live music (Olivia, Hana, Kevin); running (Kevin, Quinn); baseball (Kevin, Quinn)</t>
        </is>
      </c>
      <c r="K33" s="11" t="inlineStr">
        <is>
          <t>Good</t>
        </is>
      </c>
      <c r="L33" s="12" t="inlineStr">
        <is>
          <t>Everyone is into pickleball (4 of 4 love it). No clashes.</t>
        </is>
      </c>
      <c r="M33" s="14" t="inlineStr">
        <is>
          <t>Rules (no AI call)</t>
        </is>
      </c>
      <c r="N33" s="15" t="n"/>
      <c r="O33" s="16" t="n"/>
      <c r="P33" s="17" t="inlineStr">
        <is>
          <t>Headline: Four pickleball lovers are set for Maple Valley this Saturday
Olivia: Hi Olivia, your pickleball doubles match is confirmed for Saturday 31 Oct, 9-10:30am at the public courts in Maple Valley. You'll be playing with Hana, Kevin, and Quinn — Hana shares your love of live music and is also juggling kids at home, so you two will have plenty to talk about between games.
Hana: Hi Hana, you're all set for pickleball doubles Saturday 31 Oct, 9-10:30am at the Maple Valley public courts with Olivia, Kevin, and Quinn. Olivia's another live-music lover balancing kids at home like you, so expect an easy connection on and off the court.
Kevin: Hi Kevin, your doubles game is locked in for Saturday 31 Oct, 9-10:30am at the public courts in Maple Valley, alongside Olivia, Hana, and Quinn. Quinn shares your love of baseball and running, so you'll have plenty to chat about between rallies.
Quinn: Hi Quinn, you're confirmed for pickleball doubles this Saturday 31 Oct, 9-10:30am at the Maple Valley public courts with Olivia, Hana, and Kevin. Kevin's right there with you on baseball and running, so you two should click fast once the paddles come out.</t>
        </is>
      </c>
      <c r="Q33" s="14" t="inlineStr">
        <is>
          <t>T1 2026-10-31/g7</t>
        </is>
      </c>
      <c r="R33" s="14" t="inlineStr">
        <is>
          <t>proposed #551, plan #533, locked #797, messages #813</t>
        </is>
      </c>
    </row>
    <row r="34" ht="409" customHeight="1">
      <c r="A34" s="11" t="n">
        <v>33</v>
      </c>
      <c r="B34" s="11" t="inlineStr">
        <is>
          <t>T1
before fixes</t>
        </is>
      </c>
      <c r="C34" s="12" t="inlineStr">
        <is>
          <t>Sat 31 Oct
evening, 5:30pm-8pm
(planned 6:30pm-9:30pm)</t>
        </is>
      </c>
      <c r="D34" s="13" t="inlineStr">
        <is>
          <t>Board game night
a neighbor's table (the host rotates)
free, 4 people</t>
        </is>
      </c>
      <c r="E34" s="12" t="inlineStr">
        <is>
          <t>Jack, 20, student: loves board games, loves cards
Mateo, 59, commuter: loves board games
Hunter, 59, commuter: likes board games
Arjun, 22, student: likes board games</t>
        </is>
      </c>
      <c r="F34" s="12" t="inlineStr">
        <is>
          <t>Board game fans around a neighbor's table for a cozy, social evening.</t>
        </is>
      </c>
      <c r="G34" s="12" t="inlineStr">
        <is>
          <t>Asked 8 times: 7 yes, 0 no, 1 counter.
Time moved from 6:30pm-9:30pm to 5:30pm-8pm.
Locked by code with 4 yes (needs 2+).</t>
        </is>
      </c>
      <c r="H34" s="12" t="inlineStr">
        <is>
          <t>Jack (round 1): YES
  Jack's free Saturday evening and loves board games, so this is a great fit. Count him in for 6:30-9:30pm!
Jack (round 2): YES
  5:30-8pm Saturday works for Jack—board games are right up his alley, count him in.
Mateo (round 1): YES
  Saturday evening works great for Mateo — free board game night with neighbors is right up his alley. Count him in!
Mateo (round 2): YES
  Saturday 5:30-8pm works great for Mateo — he's free that evening and loves board games, and free is right in his budget. He's in!
Hunter (round 1): COUNTER, asked for: Start a bit earlier, like 5:30-8pm, so it wraps up before late evening.
  Hunter loves board games and this fits his free Saturday evening, but he avoids late nights—could it run 5:30-8pm instead of ending at 9:30?
Hunter (round 2): YES
  Saturday 5:30-8pm works great for Hunter — board games are a favorite, it's free, and it fits his evening availability. Confirmed!
Arjun (round 1): YES
  Saturday evening works great for Arjun — board games and trivia-style fun with neighbors, and free fits his budget perfectly. Count him in!
Arjun (round 2): YES
  Saturday 5:30-8pm works great for Arjun — he's free that evening, loves board games, and free is right in his budget. Count him in!</t>
        </is>
      </c>
      <c r="I34" s="12" t="inlineStr">
        <is>
          <t>None: every rule held.</t>
        </is>
      </c>
      <c r="J34" s="12" t="inlineStr">
        <is>
          <t>board games (Jack, Mateo, Hunter, Arjun); pickleball (Mateo, Hunter)</t>
        </is>
      </c>
      <c r="K34" s="11" t="inlineStr">
        <is>
          <t>Good</t>
        </is>
      </c>
      <c r="L34" s="12" t="inlineStr">
        <is>
          <t>Everyone is into board games (2 of 4 love it). No clashes.</t>
        </is>
      </c>
      <c r="M34" s="14" t="inlineStr">
        <is>
          <t>Rules (no AI call)</t>
        </is>
      </c>
      <c r="N34" s="15" t="n"/>
      <c r="O34" s="16" t="n"/>
      <c r="P34" s="17" t="inlineStr">
        <is>
          <t>Headline: Board games, Black Diamond style — Saturday night is set
Jack: Jack, your board game night is confirmed for Saturday 10/31, 5:30-8pm at a neighbor's table (host rotates). You'll be with Mateo, Hunter, and Arjun — all board game lovers, and Arjun's another student close to your age, so you two should hit it off right away.
Mateo: Mateo, you're set for board game night Saturday 10/31, 5:30-8pm at a rotating host's table. Joining you are Jack, Hunter, and Arjun — Hunter's also a 59-year-old commuter like you, so you'll have plenty in common beyond just loving the games.
Hunter: Hunter, your board game night is locked in for Saturday 10/31, 5:30-8pm, hosted at a neighbor's table. You'll be playing alongside Jack, Mateo, and Arjun — Mateo's another commuter in the same stage of life as you, plus he's just as into board games as you are.
Arjun: Arjun, board game night is confirmed for Saturday 10/31, 5:30-8pm at a neighbor's rotating table. You're grouped with Jack, Mateo, and Hunter, and Jack's a fellow student close in age who shares your love of board games — good company for a low-key night.</t>
        </is>
      </c>
      <c r="Q34" s="14" t="inlineStr">
        <is>
          <t>T1 2026-10-31/g8</t>
        </is>
      </c>
      <c r="R34" s="14" t="inlineStr">
        <is>
          <t>proposed #552, plan #533, locked #798, messages #815</t>
        </is>
      </c>
    </row>
    <row r="35" ht="214" customHeight="1">
      <c r="A35" s="11" t="n">
        <v>34</v>
      </c>
      <c r="B35" s="11" t="inlineStr">
        <is>
          <t>T1
before fixes</t>
        </is>
      </c>
      <c r="C35" s="12" t="inlineStr">
        <is>
          <t>Sat 31 Oct
evening, 5pm-7pm</t>
        </is>
      </c>
      <c r="D35" s="13" t="inlineStr">
        <is>
          <t>Mountain bike the Black Diamond Open Space
Black Diamond Open Space singletrack
free, 4 people</t>
        </is>
      </c>
      <c r="E35" s="12" t="inlineStr">
        <is>
          <t>Wyatt, 21, student: loves mountain biking
Imani, 18, student: loves mountain biking
Donna, 19, shift worker: loves mountain biking
Nora, 21, student: likes mountain biking</t>
        </is>
      </c>
      <c r="F35" s="12" t="inlineStr">
        <is>
          <t>Young riders around the same age hitting the Open Space singletrack together.</t>
        </is>
      </c>
      <c r="G35" s="12" t="inlineStr">
        <is>
          <t>Asked 4 times: 4 yes, 0 no, 0 counter.
Locked by code with 4 yes (needs 2+).</t>
        </is>
      </c>
      <c r="H35" s="12" t="inlineStr">
        <is>
          <t>Wyatt (round 1): YES
  Wyatt's in—mountain biking Saturday evening at Black Diamond Open Space fits his schedule perfectly and it's one of his favorite activities. Count him in!
Imani (round 1): YES
  Saturday 5-7pm mountain biking at Black Diamond Open Space fits Imani's free evening perfectly and matches her love of mountain biking—she's in!
Donna (round 1): YES
  Donna's free Saturday evening and mountain biking is her top love, so a free group ride at Black Diamond sounds great — she's in!
Nora (round 1): YES
  Nora's free Saturday evening, loves mountain biking, and this is free and low-key—sounds like a great fit. Count her in!</t>
        </is>
      </c>
      <c r="I35" s="12" t="inlineStr">
        <is>
          <t>None: every rule held.</t>
        </is>
      </c>
      <c r="J35" s="12" t="inlineStr">
        <is>
          <t>mountain biking (Wyatt, Imani, Donna, Nora); swimming (Wyatt, Nora); basketball (Wyatt, Imani); yoga (Imani, Donna, Nora)</t>
        </is>
      </c>
      <c r="K35" s="11" t="inlineStr">
        <is>
          <t>Good</t>
        </is>
      </c>
      <c r="L35" s="12" t="inlineStr">
        <is>
          <t>Everyone is into mountain biking (3 of 4 love it). No clashes.</t>
        </is>
      </c>
      <c r="M35" s="14" t="inlineStr">
        <is>
          <t>Rules (no AI call)</t>
        </is>
      </c>
      <c r="N35" s="15" t="n"/>
      <c r="O35" s="16" t="n"/>
      <c r="P35" s="17" t="inlineStr">
        <is>
          <t>Headline: Four mountain bikers hit the Black Diamond Open Space singletrack this Saturday
Wyatt: Wyatt, you're set for Black Diamond Open Space singletrack on Saturday 31 Oct, 5-7pm, riding alongside Imani, Donna, and Nora. You and Imani are both into basketball too, so there's plenty to talk about between climbs.
Imani: Imani, your mountain bike session at Black Diamond Open Space singletrack is locked in for Saturday 31 Oct, 5-7pm, with Wyatt, Donna, and Nora joining you. You and Wyatt both love basketball, so expect some friendly trash talk on the trail.
Donna: Donna, you're riding the Black Diamond Open Space singletrack this Saturday 31 Oct, 5-7pm, with Wyatt, Imani, and Nora. You and Nora are both yoga lovers, so you'll have a good stretch-and-chat topic after the ride.
Nora: Nora, your mountain bike outing at Black Diamond Open Space singletrack is confirmed for Saturday 31 Oct, 5-7pm, alongside Wyatt, Imani, and Donna. You and Donna share a love of yoga, which should make for an easy connection once you're off the bikes.</t>
        </is>
      </c>
      <c r="Q35" s="14" t="inlineStr">
        <is>
          <t>T1 2026-10-31/g9</t>
        </is>
      </c>
      <c r="R35" s="14" t="inlineStr">
        <is>
          <t>proposed #553, plan #533, locked #799, messages #817</t>
        </is>
      </c>
    </row>
    <row r="36" ht="214" customHeight="1">
      <c r="A36" s="11" t="n">
        <v>35</v>
      </c>
      <c r="B36" s="11" t="inlineStr">
        <is>
          <t>T1
before fixes</t>
        </is>
      </c>
      <c r="C36" s="12" t="inlineStr">
        <is>
          <t>Sat 31 Oct
morning, 8:30am-9:30am</t>
        </is>
      </c>
      <c r="D36" s="13" t="inlineStr">
        <is>
          <t>Easy 5K together
Ten Trails trail network
free, 4 people</t>
        </is>
      </c>
      <c r="E36" s="12" t="inlineStr">
        <is>
          <t>Hannah, 84, remote worker: loves running
Matt, 46, commuter: loves running
Noah, 43, remote worker: loves running
Ava, 42, commuter: loves running</t>
        </is>
      </c>
      <c r="F36" s="12" t="inlineStr">
        <is>
          <t>Dedicated runners sharing an easy, conversational 5K.</t>
        </is>
      </c>
      <c r="G36" s="12" t="inlineStr">
        <is>
          <t>Asked 4 times: 4 yes, 0 no, 0 counter.
Locked by code with 4 yes (needs 2+).</t>
        </is>
      </c>
      <c r="H36" s="12" t="inlineStr">
        <is>
          <t>Hannah (round 1): YES
  Saturday morning works great for Hannah — she loves running, so an easy 5K with neighbors at Ten Trails at 8:30am is a yes!
Matt (round 1): YES
  This fits perfectly—Saturday morning is free, it's free of cost, and Matt loves running right in his own Ten Trails neighborhood. Count him in.
Noah (round 1): YES
  This fits perfectly — Noah loves running, Saturday morning is free, it's free cost, and local trails close to home. Count Noah in!
Ava (round 1): YES
  Ava loves running and Saturday morning is free, plus it's free cost - this sounds like a great fit. She's in for the easy 5K at Ten Trails.</t>
        </is>
      </c>
      <c r="I36" s="12" t="inlineStr">
        <is>
          <t>None: every rule held.</t>
        </is>
      </c>
      <c r="J36" s="12" t="inlineStr">
        <is>
          <t>running (Hannah, Matt, Noah, Ava); photography (Hannah, Noah); craft beer (Matt, Noah); pickleball (Matt, Ava); live music (Matt, Ava); gardening (Noah, Ava)</t>
        </is>
      </c>
      <c r="K36" s="11" t="inlineStr">
        <is>
          <t>OK</t>
        </is>
      </c>
      <c r="L36" s="12" t="inlineStr">
        <is>
          <t>Ages 42 to 84.</t>
        </is>
      </c>
      <c r="M36" s="14" t="inlineStr">
        <is>
          <t>Rules (no AI call)</t>
        </is>
      </c>
      <c r="N36" s="15" t="n"/>
      <c r="O36" s="16" t="n"/>
      <c r="P36" s="17" t="inlineStr">
        <is>
          <t>Headline: Four runners, one easy 5K at Ten Trails
Hannah: Hannah, your easy 5K is set for Saturday 10/31, 8:30-9:30am at the Ten Trails trail network. You'll be running alongside Matt, Noah, and Ava, all fellow running lovers, so expect good pace chat and maybe some photography stops along the way since you and Noah both enjoy that too.
Matt: Matt, you're confirmed for the easy 5K this Saturday 10/31, 8:30-9:30am at Ten Trails. You'll be joined by Hannah, Noah, and Ava, a group that shares your love of running, and since the trail network is practically your backyard in Ten Trails, you'll be right at home.
Noah: Noah, your easy 5K kicks off Saturday 10/31 at 8:30am at the Ten Trails trail network, close to home for you. Hannah, Matt, and Ava are joining in, all runners like you, and Hannah shares your eye for photography so keep your phone handy for the views.
Ava: Ava, you're all set for the easy 5K Saturday 10/31, 8:30-9:30am at Ten Trails. Hannah, Matt, and Noah round out your group, and you're all runners at heart, so this low-key morning pace should suit everyone just fine.</t>
        </is>
      </c>
      <c r="Q36" s="14" t="inlineStr">
        <is>
          <t>T1 2026-10-31/g10</t>
        </is>
      </c>
      <c r="R36" s="14" t="inlineStr">
        <is>
          <t>proposed #554, plan #533, locked #800, messages #819</t>
        </is>
      </c>
    </row>
    <row r="37" ht="214" customHeight="1">
      <c r="A37" s="11" t="n">
        <v>36</v>
      </c>
      <c r="B37" s="11" t="inlineStr">
        <is>
          <t>T1
before fixes</t>
        </is>
      </c>
      <c r="C37" s="12" t="inlineStr">
        <is>
          <t>Sun 1 Nov
afternoon, 1:25pm-4:30pm</t>
        </is>
      </c>
      <c r="D37" s="13" t="inlineStr">
        <is>
          <t>Watch the Seahawks over beers
The Vault Taphouse &amp; Beer Garden
low cost, 4 people</t>
        </is>
      </c>
      <c r="E37" s="12" t="inlineStr">
        <is>
          <t>Rosa, 43, commuter: loves craft beer, loves watch sports
Nora, 60, commuter: loves craft beer [side interest]
Min-jun, 81, retiree: loves watch sports
Seo-yeon, 49, commuter: loves watch sports</t>
        </is>
      </c>
      <c r="F37" s="12" t="inlineStr">
        <is>
          <t>Four committed sports watchers who'd rather cheer together than alone, with craft beer as a bonus for most.</t>
        </is>
      </c>
      <c r="G37" s="12" t="inlineStr">
        <is>
          <t>Asked 4 times: 4 yes, 0 no, 0 counter.
Locked by code with 4 yes (needs 2+).</t>
        </is>
      </c>
      <c r="H37" s="12" t="inlineStr">
        <is>
          <t>Rosa (round 1): YES
  This is a great fit—Rosa's free Sunday afternoon, loves watching sports and craft beer, and it's low-cost. She's in!
Nora (round 1): YES
  Sunday afternoon is free for Nora, and craft beer with a relaxed neighborhood crowd is right up her alley. Count her in for The Vault Taphouse.
Min-jun (round 1): YES
  Min-jun is free Sunday afternoon and loves watching sports, so catching the Seahawks with neighbors at The Vault sounds great to him. Please confirm him for this one.
Seo-yeon (round 1): YES
  Sunday afternoon works great for Seo-yeon, and watching the Seahawks fits her love of watching sports perfectly—count her in.</t>
        </is>
      </c>
      <c r="I37" s="12" t="inlineStr">
        <is>
          <t>None: every rule held.</t>
        </is>
      </c>
      <c r="J37" s="12" t="inlineStr">
        <is>
          <t>hiking (Rosa, Nora); craft beer (Rosa, Nora); watch sports (Rosa, Min-jun, Seo-yeon); golf (Rosa, Nora); running (Nora, Seo-yeon)</t>
        </is>
      </c>
      <c r="K37" s="11" t="inlineStr">
        <is>
          <t>OK</t>
        </is>
      </c>
      <c r="L37" s="12" t="inlineStr">
        <is>
          <t>Nora is here for a side interest, not watch sports.</t>
        </is>
      </c>
      <c r="M37" s="14" t="inlineStr">
        <is>
          <t>Rules (no AI call)</t>
        </is>
      </c>
      <c r="N37" s="15" t="n"/>
      <c r="O37" s="16" t="n"/>
      <c r="P37" s="17" t="inlineStr">
        <is>
          <t>Headline: Seahawks Sunday at The Vault — your crew is set
Rosa: Rosa, your Seahawks watch party is locked in for Sunday Nov 1, 1:25-4:30pm at The Vault Taphouse &amp; Beer Garden. You'll be with Nora, Min-jun, and Seo-yeon — all fellow watch-sports fans, and Nora's right there with you on the craft beer front too. Good crowd for settling into a booth and cheering together.
Nora: Nora, you're set for Seahawks at The Vault this Sunday, Nov 1, 1:25-4:30pm. Rosa shares your love of craft beer and hiking, and the whole table — Rosa, Min-jun, and Seo-yeon — is there to watch the game, so no convincing anyone to care about the score.
Min-jun: Min-jun, your group is confirmed for Seahawks at The Vault, Sunday Nov 1 from 1:25-4:30pm. Rosa, Nora, and Seo-yeon are all in for watching sports too, so you'll have good company for the game without needing to explain the plays.
Seo-yeon: Seo-yeon, you're joining Rosa, Nora, and Min-jun for Seahawks at The Vault this Sunday, Nov 1, 1:25-4:30pm. Everyone in the group loves watching sports, so it's a solid crew for getting into the game together, and it wraps well before any late-night stuff.</t>
        </is>
      </c>
      <c r="Q37" s="14" t="inlineStr">
        <is>
          <t>T1 2026-11-01/g1</t>
        </is>
      </c>
      <c r="R37" s="14" t="inlineStr">
        <is>
          <t>proposed #836, plan #824, locked #1069, messages #1079</t>
        </is>
      </c>
    </row>
    <row r="38" ht="304" customHeight="1">
      <c r="A38" s="11" t="n">
        <v>37</v>
      </c>
      <c r="B38" s="11" t="inlineStr">
        <is>
          <t>T1
before fixes</t>
        </is>
      </c>
      <c r="C38" s="12" t="inlineStr">
        <is>
          <t>Sun 1 Nov
evening, 5:20pm-8:30pm</t>
        </is>
      </c>
      <c r="D38" s="13" t="inlineStr">
        <is>
          <t>Watch the Seahawks over beers
The Vault Taphouse &amp; Beer Garden
low cost, 4 people</t>
        </is>
      </c>
      <c r="E38" s="12" t="inlineStr">
        <is>
          <t>Brooke, 54, commuter: loves watch sports
Rohan, 60, commuter: loves craft beer [side interest]
Karen, 57, shift worker: loves craft beer [side interest]
Paige, 67, commuter: loves craft beer [side interest]</t>
        </is>
      </c>
      <c r="F38" s="12" t="inlineStr">
        <is>
          <t>Fiftyish craft-beer and dining fans who'll enjoy the evening game together.</t>
        </is>
      </c>
      <c r="G38" s="12" t="inlineStr">
        <is>
          <t>Asked 5 times: 4 yes, 1 no, 0 counter.
Locked by code with 4 yes (needs 2+).</t>
        </is>
      </c>
      <c r="H38" s="12" t="inlineStr">
        <is>
          <t>Brooke (round 1): YES
  Sunday evening works great for Brooke—he's free then and loves watching sports with good company over food and drinks. Count him in for the Seahawks game at The Vault.
Rohan (round 1): YES
  Rohan's free Sunday evening and loves craft beer and dining out with good company, so watching the Seahawks at The Vault Taphouse works great. Count him in!
Karen (round 1): YES
  Karen's free Sunday evening and loves craft beer, so watching the Seahawks over beers at The Vault Taphouse sounds like a great fit. Count her in!
Cody (round 1): NO
  Cody loves craft beer but isn't into watching competitive sports events like football - that's not really his scene. He'd rather do something active or social around the beer itself, like a brewery meetup or trivia night.
Paige (round 2): YES
  Sunday evening works great for Paige, and craft beer with a game on fits right into his interests — count him in!</t>
        </is>
      </c>
      <c r="I38" s="12" t="inlineStr">
        <is>
          <t>None: every rule held.</t>
        </is>
      </c>
      <c r="J38" s="12" t="inlineStr">
        <is>
          <t>golf (Brooke, Rohan); dining (Brooke, Rohan); craft beer (Rohan, Karen, Paige)</t>
        </is>
      </c>
      <c r="K38" s="11" t="inlineStr">
        <is>
          <t>Weak</t>
        </is>
      </c>
      <c r="L38" s="12" t="inlineStr">
        <is>
          <t>3 of 4 aren't into watch sports, and they share little else.</t>
        </is>
      </c>
      <c r="M38" s="14" t="inlineStr">
        <is>
          <t>Rules (no AI call)</t>
        </is>
      </c>
      <c r="N38" s="15" t="n"/>
      <c r="O38" s="16" t="n"/>
      <c r="P38" s="17" t="inlineStr">
        <is>
          <t>Headline: Seahawks Sunday at The Vault – your crew is set!
Brooke: Brooke, you're in for Seahawks at The Vault Taphouse &amp; Beer Garden this Sunday, Nov 1, 5:20-8:30pm. You'll be watching alongside Rohan, Karen, and Paige — Rohan's into golf too, so you two will have plenty to chat about between plays.
Rohan: Rohan, your Seahawks watch party at The Vault Taphouse &amp; Beer Garden is confirmed for Sunday, Nov 1, 5:20-8:30pm. You're joining Brooke, Karen, and Paige, and with Karen and Paige both craft beer lovers like you, the taps will get a proper workout.
Karen: Karen, you're set for Seahawks at The Vault Taphouse &amp; Beer Garden this Sunday, Nov 1, from 5:20-8:30pm. Rohan and Paige are craft beer fans just like you, so expect some good debates over pints while the game plays on.
Paige: Paige, your Seahawks gathering at The Vault Taphouse &amp; Beer Garden is locked in for Sunday, Nov 1, 5:20-8:30pm. You'll be sitting with Rohan and Karen, both craft beer lovers like you, plus Brooke rounding out the group for game day.</t>
        </is>
      </c>
      <c r="Q38" s="14" t="inlineStr">
        <is>
          <t>T1 2026-11-01/g2</t>
        </is>
      </c>
      <c r="R38" s="14" t="inlineStr">
        <is>
          <t>proposed #837, plan #824, locked #1070, messages #1081</t>
        </is>
      </c>
    </row>
    <row r="39" ht="244" customHeight="1">
      <c r="A39" s="11" t="n">
        <v>38</v>
      </c>
      <c r="B39" s="11" t="inlineStr">
        <is>
          <t>T1
before fixes</t>
        </is>
      </c>
      <c r="C39" s="12" t="inlineStr">
        <is>
          <t>Sun 1 Nov
morning, 9:00am-10:30am</t>
        </is>
      </c>
      <c r="D39" s="13" t="inlineStr">
        <is>
          <t>Pickleball doubles
public courts in Maple Valley
free, 4 people</t>
        </is>
      </c>
      <c r="E39" s="12" t="inlineStr">
        <is>
          <t>Olivia, 36, commuter: loves pickleball
Elena, 59, remote worker: loves pickleball
Hana, 53, commuter: loves pickleball
Kevin, 30, commuter: loves pickleball</t>
        </is>
      </c>
      <c r="F39" s="12" t="inlineStr">
        <is>
          <t>Four keen pickleball players make exactly one doubles court.</t>
        </is>
      </c>
      <c r="G39" s="12" t="inlineStr">
        <is>
          <t>Asked 4 times: 4 yes, 0 no, 0 counter.
Locked by code with 4 yes (needs 2+).</t>
        </is>
      </c>
      <c r="H39" s="12" t="inlineStr">
        <is>
          <t>Olivia (round 1): YES
  Sunday morning works great for Olivia — pickleball is one of her favorite activities, it's free, and the time fits her free morning. Count her in!
Elena (round 1): YES
  This is a great fit—Elena loves pickleball, Sunday morning is free on her calendar, it's free of cost, and a small neighbor group sounds perfectly low-key. Count her in!
Hana (round 1): YES
  Sunday morning works great for Hana - she's free then, pickleball is one of her favorite activities, it's free, and a small daytime group fits her preference for low-key, non-loud settings. Count her in!
Kevin (round 1): YES
  Sunday 9-10:30am pickleball doubles in Maple Valley works great for Kevin — he's free all morning, loves the sport, and free cost fits his budget. Count him in!</t>
        </is>
      </c>
      <c r="I39" s="12" t="inlineStr">
        <is>
          <t>None: every rule held.</t>
        </is>
      </c>
      <c r="J39" s="12" t="inlineStr">
        <is>
          <t>pickleball (Olivia, Elena, Hana, Kevin); live music (Olivia, Hana, Kevin); running (Elena, Kevin); yoga (Elena, Hana)</t>
        </is>
      </c>
      <c r="K39" s="11" t="inlineStr">
        <is>
          <t>Good</t>
        </is>
      </c>
      <c r="L39" s="12" t="inlineStr">
        <is>
          <t>Everyone is into pickleball (4 of 4 love it). No clashes.</t>
        </is>
      </c>
      <c r="M39" s="14" t="inlineStr">
        <is>
          <t>Rules (no AI call)</t>
        </is>
      </c>
      <c r="N39" s="15" t="n"/>
      <c r="O39" s="16" t="n"/>
      <c r="P39" s="17" t="inlineStr">
        <is>
          <t>Headline: Pickleball doubles is set for Sunday morning in Maple Valley!
Olivia: Hi Olivia, your pickleball doubles group is confirmed for Sunday 1 Nov, 9:00-10:30am at the public courts in Maple Valley. You'll be playing with Elena, Hana, and Kevin, all pickleball lovers like you, and Hana's also a commuter raising kids at home so you two will have plenty to swap stories about between games.
Elena: Hi Elena, you're set for pickleball doubles this Sunday 1 Nov, 9:00-10:30am at the Maple Valley public courts. You'll be joined by Olivia, Hana, and Kevin, and since you all love pickleball and keep an active pace, it should be an easy, energetic match from the first serve.
Hana: Hi Hana, your pickleball doubles session is confirmed for Sunday 1 Nov, 9:00-10:30am at the public courts in Maple Valley. You're playing alongside Olivia, Elena, and Kevin, and you and Olivia both love pickleball and live music, so there's a good chance the court talk drifts to favorite shows too.
Kevin: Hi Kevin, you're confirmed for pickleball doubles on Sunday 1 Nov, 9:00-10:30am at the Maple Valley public courts. You'll be playing with Olivia, Elena, and Hana, and since you and Hana both love pickleball and live music, you'll have more than just the game to talk about on the sidelines.</t>
        </is>
      </c>
      <c r="Q39" s="14" t="inlineStr">
        <is>
          <t>T1 2026-11-01/g3</t>
        </is>
      </c>
      <c r="R39" s="14" t="inlineStr">
        <is>
          <t>proposed #838, plan #824, locked #1071, messages #1083</t>
        </is>
      </c>
    </row>
    <row r="40" ht="244" customHeight="1">
      <c r="A40" s="11" t="n">
        <v>39</v>
      </c>
      <c r="B40" s="11" t="inlineStr">
        <is>
          <t>T1
before fixes</t>
        </is>
      </c>
      <c r="C40" s="12" t="inlineStr">
        <is>
          <t>Sun 1 Nov
afternoon, 1:00pm-4:00pm</t>
        </is>
      </c>
      <c r="D40" s="13" t="inlineStr">
        <is>
          <t>Green River Gorge hike
Green River Gorge Conservation Area
free, 4 people</t>
        </is>
      </c>
      <c r="E40" s="12" t="inlineStr">
        <is>
          <t>Dylan, 58, commuter: loves hiking, loves photography
Susan, 54, remote worker: loves hiking, likes photography
Paige, 54, remote worker: loves photography [side interest]
Chris, 56, remote worker: loves photography [side interest]</t>
        </is>
      </c>
      <c r="F40" s="12" t="inlineStr">
        <is>
          <t>Four photographers in their 50s on the most scenic hike around.</t>
        </is>
      </c>
      <c r="G40" s="12" t="inlineStr">
        <is>
          <t>Asked 4 times: 4 yes, 0 no, 0 counter.
Locked by code with 4 yes (needs 2+).</t>
        </is>
      </c>
      <c r="H40" s="12" t="inlineStr">
        <is>
          <t>Dylan (round 1): YES
  This fits Dylan perfectly—free Sunday afternoon, hiking and photography combined, no cost, and a chance to meet fellow photography enthusiasts. Count him in!
Susan (round 1): YES
  This is a great fit for Susan—hiking is her top love, photography is a bonus interest, it's free, and Sunday afternoon is open on her calendar. Count her in!
Paige (round 1): YES
  This fits perfectly — Sunday afternoon is free, photography is Paige's top love, and a relaxed small-group hike (not competitive) with fellow camera enthusiasts sounds great. Count her in!
Chris (round 1): YES
  Sunday afternoon works great for Chris, and a photography-focused hike with neighbors shooting fall colors sounds right up his alley. Count him in!</t>
        </is>
      </c>
      <c r="I40" s="12" t="inlineStr">
        <is>
          <t>None: every rule held.</t>
        </is>
      </c>
      <c r="J40" s="12" t="inlineStr">
        <is>
          <t>hiking (Dylan, Susan); photography (Dylan, Susan, Paige, Chris); coffee (Paige, Chris); kayaking (Paige, Chris); crafts (Paige, Chris)</t>
        </is>
      </c>
      <c r="K40" s="11" t="inlineStr">
        <is>
          <t>OK</t>
        </is>
      </c>
      <c r="L40" s="12" t="inlineStr">
        <is>
          <t>Paige, chris are here for a side interest, not hiking.</t>
        </is>
      </c>
      <c r="M40" s="14" t="inlineStr">
        <is>
          <t>Rules (no AI call)</t>
        </is>
      </c>
      <c r="N40" s="15" t="n"/>
      <c r="O40" s="16" t="n"/>
      <c r="P40" s="17" t="inlineStr">
        <is>
          <t>Headline: Four Black Diamond photographers hit the Green River Gorge trail together
Dylan: Dylan, you're set for the Green River Gorge hike this Sunday, Nov 1, 1-4pm with Susan, Paige, and Chris. You'll have photography in common with all three, and Susan shares your love of hiking too.
Susan: Susan, your group for the Green River Gorge hike on Sunday, Nov 1, 1-4pm is set: Dylan, Paige, and Chris. Dylan's right there with you on hiking, and photography is a shared thread with the whole group.
Paige: Paige, you're confirmed for the Green River Gorge hike this Sunday, Nov 1, 1-4pm alongside Dylan, Susan, and Chris. Photography pulls you all together, and as a fellow remote worker, Chris keeps a similar pace to your days.
Chris: Chris, your Green River Gorge hike is locked in for Sunday, Nov 1, 1-4pm with Dylan, Susan, and Paige. You all share a love of photography, and Paige's remote-work schedule in Morgan Creek lines up with yours in Ten Trails.</t>
        </is>
      </c>
      <c r="Q40" s="14" t="inlineStr">
        <is>
          <t>T1 2026-11-01/g4</t>
        </is>
      </c>
      <c r="R40" s="14" t="inlineStr">
        <is>
          <t>proposed #839, plan #824, locked #1072, messages #1085</t>
        </is>
      </c>
    </row>
    <row r="41" ht="244" customHeight="1">
      <c r="A41" s="11" t="n">
        <v>40</v>
      </c>
      <c r="B41" s="11" t="inlineStr">
        <is>
          <t>T1
before fixes</t>
        </is>
      </c>
      <c r="C41" s="12" t="inlineStr">
        <is>
          <t>Sun 1 Nov
afternoon, 1:00pm-3:30pm</t>
        </is>
      </c>
      <c r="D41" s="13" t="inlineStr">
        <is>
          <t>Franklin ghost town hike
Franklin ghost town trail, Green River Gorge Rd
free, 4 people</t>
        </is>
      </c>
      <c r="E41" s="12" t="inlineStr">
        <is>
          <t>Imani, 52, remote worker: likes hiking, loves history
Carlos, 61, retiree: likes history, loves hiking
Paolo, 37, parent at home: loves history [side interest]
Mateo, 59, commuter: likes hiking, is up for history</t>
        </is>
      </c>
      <c r="F41" s="12" t="inlineStr">
        <is>
          <t>History lovers exploring a real ghost town, with hiking as the common thread.</t>
        </is>
      </c>
      <c r="G41" s="12" t="inlineStr">
        <is>
          <t>Asked 4 times: 4 yes, 0 no, 0 counter.
Locked by code with 4 yes (needs 2+).</t>
        </is>
      </c>
      <c r="H41" s="12" t="inlineStr">
        <is>
          <t>Imani (round 1): YES
  This fits perfectly—Sunday afternoon is free, it's hiking plus history, free cost, small group, and no loud places or long drives involved. Imani's in!
Carlos (round 1): YES
  Sunday afternoon works great for Carlos — a ghost town hike combines his love of history and hiking, free cost fits his budget, and it's not an early start. Count him in!
Paolo (round 1): YES
  This is a great fit — Paolo loves history, it's free, and Sunday afternoon is open on his calendar. He's happy to join the neighbors for the ghost town hike.
Mateo (round 1): YES
  Mateo's free Sunday afternoon and this checks every box: hiking plus a bit of history, free cost, no conflicts. Count him in for the Franklin ghost town hike.</t>
        </is>
      </c>
      <c r="I41" s="12" t="inlineStr">
        <is>
          <t>None: every rule held.</t>
        </is>
      </c>
      <c r="J41" s="12" t="inlineStr">
        <is>
          <t>hiking (Imani, Carlos, Mateo); history (Imani, Carlos, Paolo, Mateo)</t>
        </is>
      </c>
      <c r="K41" s="11" t="inlineStr">
        <is>
          <t>OK</t>
        </is>
      </c>
      <c r="L41" s="12" t="inlineStr">
        <is>
          <t>Paolo is here for a side interest, not hiking.</t>
        </is>
      </c>
      <c r="M41" s="14" t="inlineStr">
        <is>
          <t>Rules (no AI call)</t>
        </is>
      </c>
      <c r="N41" s="15" t="n"/>
      <c r="O41" s="16" t="n"/>
      <c r="P41" s="17" t="inlineStr">
        <is>
          <t>Headline: Four Black Diamond neighbors are hitting the Franklin ghost town trail this Sunday
Imani: Hi Imani, your small group is set for the Franklin ghost town hike on Sunday, Nov 1, 1:00-3:30pm at the trail off Green River Gorge Rd. You'll be joined by Carlos, Paolo, and Mateo, and given your love of hiking and history, Carlos is a great match since he's just as into both. It's an easy, low-key afternoon outdoors, not a loud crowd in sight.
Carlos: Hi Carlos, you're confirmed for the Franklin ghost town hike this Sunday, Nov 1, 1:00-3:30pm on Green River Gorge Rd. Imani, Paolo, and Mateo will be there too, and you and Imani especially share a real love of hiking and history, so expect plenty to talk about along the trail. It's a quiet, unhurried walk through old mining history, right up your alley.
Paolo: Hi Paolo, your group for the Franklin ghost town hike is confirmed for Sunday, Nov 1, 1:00-3:30pm at the trailhead on Green River Gorge Rd. You'll be hiking alongside Imani, Carlos, and Mateo, and since you, Carlos, and Mateo all share a love of history, the ghost town setting should make for great conversation. It's free to join, which fits perfectly with your budget.
Mateo: Hi Mateo, you're all set for the Franklin ghost town hike on Sunday, Nov 1, 1:00-3:30pm on Green River Gorge Rd. Imani, Carlos, and Paolo will be hiking with you, and with your shared interest in hiking and history, especially with Carlos and Imani, this old mining trail should be a fun one to explore together.</t>
        </is>
      </c>
      <c r="Q41" s="14" t="inlineStr">
        <is>
          <t>T1 2026-11-01/g5</t>
        </is>
      </c>
      <c r="R41" s="14" t="inlineStr">
        <is>
          <t>proposed #840, plan #824, locked #1073, messages #1087</t>
        </is>
      </c>
    </row>
    <row r="42" ht="244" customHeight="1">
      <c r="A42" s="11" t="n">
        <v>41</v>
      </c>
      <c r="B42" s="11" t="inlineStr">
        <is>
          <t>T1
before fixes</t>
        </is>
      </c>
      <c r="C42" s="12" t="inlineStr">
        <is>
          <t>Sun 1 Nov
afternoon, 12:30pm-3:00pm</t>
        </is>
      </c>
      <c r="D42" s="13" t="inlineStr">
        <is>
          <t>Short hike and picnic at Flaming Geyser
Flaming Geyser State Park
free, 4 people</t>
        </is>
      </c>
      <c r="E42" s="12" t="inlineStr">
        <is>
          <t>Wei, 43, parent at home: loves picnics, likes hiking
Liam, 78, retiree: loves picnics [side interest]
Isabel, 74, retiree: loves picnics [side interest]
Jessica, 47, commuter: loves hiking</t>
        </is>
      </c>
      <c r="F42" s="12" t="inlineStr">
        <is>
          <t>Picnic lovers on an easy hike at Flaming Geyser.</t>
        </is>
      </c>
      <c r="G42" s="12" t="inlineStr">
        <is>
          <t>Asked 4 times: 4 yes, 0 no, 0 counter.
Locked by code with 4 yes (needs 2+).</t>
        </is>
      </c>
      <c r="H42" s="12" t="inlineStr">
        <is>
          <t>Wei (round 1): YES
  This looks great - Wei loves hiking and picnics, it's free, Sunday afternoon is open, and a small group of neighbors keeps it low-key rather than crowded. Count Wei in!
Liam (round 1): YES
  Sunday afternoon works great for Liam — he's free then and loves picnics, so a relaxed short walk and picnic with neighbors at Flaming Geyser State Park sounds lovely. Count him in!
Isabel (round 1): YES
  Isabel's free Sunday afternoon and a leisurely picnic/hike with neighbors sounds lovely—picnics are a favorite of hers, and a small, calm group fits her preference for avoiding loud places. Count her in!
Jessica (round 1): YES
  Sunday afternoon works great for Jessica - she's free then, and hiking plus a picnic with neighbors fits her love of hiking and dining perfectly. She's in!</t>
        </is>
      </c>
      <c r="I42" s="12" t="inlineStr">
        <is>
          <t>None: every rule held.</t>
        </is>
      </c>
      <c r="J42" s="12" t="inlineStr">
        <is>
          <t>farmers market (Wei, Wei); picnics (Wei, Liam, Isabel); hiking (Wei, Jessica)</t>
        </is>
      </c>
      <c r="K42" s="11" t="inlineStr">
        <is>
          <t>Weak</t>
        </is>
      </c>
      <c r="L42" s="12" t="inlineStr">
        <is>
          <t>2 of 4 aren't into hiking, and they share little else.</t>
        </is>
      </c>
      <c r="M42" s="14" t="inlineStr">
        <is>
          <t>Rules (no AI call)</t>
        </is>
      </c>
      <c r="N42" s="15" t="n"/>
      <c r="O42" s="16" t="n"/>
      <c r="P42" s="17" t="inlineStr">
        <is>
          <t>Headline: Flaming Geyser hike + picnic is on for Sunday!
Wei: Wei, it's official: you're hiking and picnicking at Flaming Geyser State Park on Sunday Nov 1, 12:30-3:00pm with Liam, Isabel, and Jessica. Jessica also loves hiking and picnics like you, so you two will have plenty to chat about on the trail.
Liam: Liam, your Flaming Geyser outing is confirmed for Sunday Nov 1, 12:30-3:00pm, alongside Wei, Isabel, and Jessica. You and Isabel both love picnics, so you'll be in good company when it's time to settle down and eat.
Isabel: Isabel, you're set for a hike and picnic at Flaming Geyser State Park this Sunday Nov 1, 12:30-3:00pm with Wei, Liam, and Jessica. You and Liam share a love of picnics, so expect good conversation once you find a spot to sit.
Jessica: Jessica, your group hike and picnic at Flaming Geyser is confirmed for Sunday Nov 1, 12:30-3:00pm with Wei, Liam, and Isabel. Wei shares your love of both hiking and picnics, so you two should hit it off on the trail.</t>
        </is>
      </c>
      <c r="Q42" s="14" t="inlineStr">
        <is>
          <t>T1 2026-11-01/g6</t>
        </is>
      </c>
      <c r="R42" s="14" t="inlineStr">
        <is>
          <t>proposed #841, plan #824, locked #1074, messages #1089</t>
        </is>
      </c>
    </row>
    <row r="43" ht="229" customHeight="1">
      <c r="A43" s="11" t="n">
        <v>42</v>
      </c>
      <c r="B43" s="11" t="inlineStr">
        <is>
          <t>T1
before fixes</t>
        </is>
      </c>
      <c r="C43" s="12" t="inlineStr">
        <is>
          <t>Sun 1 Nov
evening, 5:30pm-7:00pm</t>
        </is>
      </c>
      <c r="D43" s="13" t="inlineStr">
        <is>
          <t>Evening walk on the Ten Trails paths
Ten Trails trail network
free, 4 people</t>
        </is>
      </c>
      <c r="E43" s="12" t="inlineStr">
        <is>
          <t>Isabel, 23, commuter: loves running, likes hiking, loves dog walks
Kavya, 25, commuter: is up for hiking, loves running [side interest]
Claire, 24, student: loves dog walks
Andres, 22, shift worker: loves hiking [side interest]</t>
        </is>
      </c>
      <c r="F43" s="12" t="inlineStr">
        <is>
          <t>Four active twenty-somethings on an easy evening walk.</t>
        </is>
      </c>
      <c r="G43" s="12" t="inlineStr">
        <is>
          <t>Asked 4 times: 4 yes, 0 no, 0 counter.
Locked by code with 4 yes (needs 2+).</t>
        </is>
      </c>
      <c r="H43" s="12" t="inlineStr">
        <is>
          <t>Isabel (round 1): YES
  Sunday evening works great for Isabel - she's free then, it's a free outdoor walk, and a small group of neighbors fits her vibe without being a crowded or competitive scene. Count her in!
Kavya (round 1): YES
  Sunday evening works great for Kavya — she's free then, loves being active, and a free walk with neighbors fits her vibe perfectly. Count her in!
Claire (round 1): YES
  Claire's free Sunday evening and loves a dusk walk with a chance for birding - this sounds great, count her in!
Andres (round 1): YES
  Sunday evening works great for Andres - he's free then, loves hiking, it's free, and a chill group walk with neighbors sounds like a good fit. Let's book it!</t>
        </is>
      </c>
      <c r="I43" s="12" t="inlineStr">
        <is>
          <t>None: every rule held.</t>
        </is>
      </c>
      <c r="J43" s="12" t="inlineStr">
        <is>
          <t>running (Isabel, Kavya); hiking (Isabel, Kavya, Andres); live music (Isabel, Kavya); dog walks (Isabel, Claire); trivia (Kavya, Claire); swimming (Claire, Andres)</t>
        </is>
      </c>
      <c r="K43" s="11" t="inlineStr">
        <is>
          <t>Weak</t>
        </is>
      </c>
      <c r="L43" s="12" t="inlineStr">
        <is>
          <t>2 of 4 aren't into dog walks, and they share little else.</t>
        </is>
      </c>
      <c r="M43" s="14" t="inlineStr">
        <is>
          <t>Rules (no AI call)</t>
        </is>
      </c>
      <c r="N43" s="15" t="n"/>
      <c r="O43" s="16" t="n"/>
      <c r="P43" s="17" t="inlineStr">
        <is>
          <t>Headline: Four Black Diamond locals, one sunset walk on Ten Trails
Isabel: Isabel, your evening walk is set for Sunday Nov 1, 5:30-7:00pm on the Ten Trails paths. You'll be with Kavya, Claire, and Andres — Kavya and Andres both love hiking like you, and Claire's a fellow dog-walk enthusiast, so there's plenty to talk about on the trail.
Kavya: Kavya, you're confirmed for the Ten Trails evening walk this Sunday Nov 1, 5:30-7:00pm. Joining you are Isabel, Claire, and Andres — Isabel shares your love of hiking and running, making her an easy match for the pace of the walk.
Claire: Claire, your Ten Trails walk is happening Sunday Nov 1, 5:30-7:00pm. You'll be walking alongside Isabel, Kavya, and Andres — Isabel's a fellow dog-walk lover, so you two will have plenty of trail chat before the sun sets.
Andres: Andres, you're set for the Ten Trails evening walk this Sunday Nov 1, 5:30-7:00pm, with Isabel, Kavya, and Claire. Isabel and Kavya both share your love of hiking, so the group should fall into step together easily.</t>
        </is>
      </c>
      <c r="Q43" s="14" t="inlineStr">
        <is>
          <t>T1 2026-11-01/g7</t>
        </is>
      </c>
      <c r="R43" s="14" t="inlineStr">
        <is>
          <t>proposed #842, plan #824, locked #1075, messages #1091</t>
        </is>
      </c>
    </row>
    <row r="44" ht="274" customHeight="1">
      <c r="A44" s="11" t="n">
        <v>43</v>
      </c>
      <c r="B44" s="11" t="inlineStr">
        <is>
          <t>T1
before fixes</t>
        </is>
      </c>
      <c r="C44" s="12" t="inlineStr">
        <is>
          <t>Sun 1 Nov
afternoon, 2:00pm-4:00pm</t>
        </is>
      </c>
      <c r="D44" s="13" t="inlineStr">
        <is>
          <t>Pints at Lumber House
Lumber House brewery
low cost, 4 people</t>
        </is>
      </c>
      <c r="E44" s="12" t="inlineStr">
        <is>
          <t>Imani, 36, commuter: loves craft beer
Claire, 58, remote worker: loves craft beer
Noah, 43, remote worker: loves craft beer
Hannah, 26, commuter: loves craft beer</t>
        </is>
      </c>
      <c r="F44" s="12" t="inlineStr">
        <is>
          <t>Four big craft-beer fans who are also active outdoors types.</t>
        </is>
      </c>
      <c r="G44" s="12" t="inlineStr">
        <is>
          <t>Asked 5 times: 4 yes, 1 no, 0 counter.
Locked by code with 4 yes (needs 2+).</t>
        </is>
      </c>
      <c r="H44" s="12" t="inlineStr">
        <is>
          <t>Imani (round 1): YES
  Craft beer with fellow hikers on Sunday afternoon is right up Imani's alley — she's free then and it's low-cost. Count her in!
Claire (round 1): YES
  Sunday afternoon works great, and craft beer with outdoorsy folks sounds right up Claire's alley. Let's confirm it.
Noah (round 1): YES
  Craft beer with fellow outdoor enthusiasts on Sunday afternoon sounds great—Noah's free then and this is right up his alley. Let's book it.
Kevin (round 1): NO
  Kevin's free Sunday afternoon, but a small group at a brewery still means a crowd setting he'd rather avoid - he's not keen on this one, thanks though.
Hannah (round 2): YES
  Hannah's free Sunday afternoon and loves craft beer with a casual neighbor group — pints at Lumber House from 2-4pm sounds great, count her in!</t>
        </is>
      </c>
      <c r="I44" s="12" t="inlineStr">
        <is>
          <t>None: every rule held.</t>
        </is>
      </c>
      <c r="J44" s="12" t="inlineStr">
        <is>
          <t>craft beer (Imani, Claire, Noah, Hannah); golf (Imani, Hannah); pickleball (Imani, Hannah); hiking (Imani, Claire); kayaking (Claire, Noah)</t>
        </is>
      </c>
      <c r="K44" s="11" t="inlineStr">
        <is>
          <t>Good</t>
        </is>
      </c>
      <c r="L44" s="12" t="inlineStr">
        <is>
          <t>Everyone is into craft beer (4 of 4 love it). No clashes.</t>
        </is>
      </c>
      <c r="M44" s="14" t="inlineStr">
        <is>
          <t>Rules (no AI call)</t>
        </is>
      </c>
      <c r="N44" s="15" t="n"/>
      <c r="O44" s="16" t="n"/>
      <c r="P44" s="17" t="inlineStr">
        <is>
          <t>Headline: Four craft beer lovers meet up at Lumber House
Imani: Hey Imani, your small group is confirmed for pints at Lumber House brewery on Sunday Nov 1, 2:00-4:00pm. You'll be meeting Claire, Noah, and Hannah — all craft beer lovers like you, and Hannah shares your love of golf and pickleball too, so there's plenty to swap stories about.
Claire: Hi Claire, you're set for pints at Lumber House brewery this Sunday Nov 1, 2:00-4:00pm. You'll be joined by Imani, Noah, and Hannah — Noah and Imani both love craft beer and hiking just like you, so easy common ground for conversation over a pint.
Noah: Hey Noah, your group is confirmed for Lumber House brewery on Sunday Nov 1 from 2:00-4:00pm. You'll be meeting Imani, Claire, and Hannah — Claire's right there with you on craft beer and kayaking, so you two will have plenty to chat about.
Hannah: Hi Hannah, pints at Lumber House brewery are set for Sunday Nov 1, 2:00-4:00pm, with Imani, Claire, and Noah. Imani shares your love of golf and pickleball, so you two should hit it off quickly over a beer.</t>
        </is>
      </c>
      <c r="Q44" s="14" t="inlineStr">
        <is>
          <t>T1 2026-11-01/g8</t>
        </is>
      </c>
      <c r="R44" s="14" t="inlineStr">
        <is>
          <t>proposed #843, plan #824, locked #1076, messages #1093</t>
        </is>
      </c>
    </row>
    <row r="45" ht="229" customHeight="1">
      <c r="A45" s="11" t="n">
        <v>44</v>
      </c>
      <c r="B45" s="11" t="inlineStr">
        <is>
          <t>T1
before fixes</t>
        </is>
      </c>
      <c r="C45" s="12" t="inlineStr">
        <is>
          <t>Sun 1 Nov
morning, 10:00am-11:30am</t>
        </is>
      </c>
      <c r="D45" s="13" t="inlineStr">
        <is>
          <t>Black Diamond Museum visit
Black Diamond Historical Society &amp; Museum, Railroad Ave (free)
free, 4 people</t>
        </is>
      </c>
      <c r="E45" s="12" t="inlineStr">
        <is>
          <t>Ryan, 78, retiree: loves history
Greg, 77, retiree: loves history
Claire, 81, retiree: loves history
Claire, 72, retiree: likes history</t>
        </is>
      </c>
      <c r="F45" s="12" t="inlineStr">
        <is>
          <t>Retired local-history enthusiasts touring the museum together.</t>
        </is>
      </c>
      <c r="G45" s="12" t="inlineStr">
        <is>
          <t>Asked 4 times: 4 yes, 0 no, 0 counter.
Locked by code with 4 yes (needs 2+).</t>
        </is>
      </c>
      <c r="H45" s="12" t="inlineStr">
        <is>
          <t>Ryan (round 1): YES
  This is a great fit for Ryan — he loves history, it's free, and Sunday morning is open on his calendar. Please confirm him for the museum visit.
Greg (round 1): YES
  Greg's free Sunday morning, loves history, and this museum visit is free with a small group — sounds like a great fit. He's in.
Claire (round 1): YES
  This is a great fit for Claire—she loves history, it's during her free Sunday morning, a small neighbor group isn't a loud setting, and free cost is no issue. Please confirm her for the museum tour.
Claire (round 1): YES
  Claire's free Sunday morning and loves history, plus it's free and a nice small neighborly group — she'd be happy to join the museum visit.</t>
        </is>
      </c>
      <c r="I45" s="12" t="inlineStr">
        <is>
          <t>None: every rule held.</t>
        </is>
      </c>
      <c r="J45" s="12" t="inlineStr">
        <is>
          <t>gardening (Ryan, Claire); history (Ryan, Greg, Claire, Claire); baseball (Ryan, Claire)</t>
        </is>
      </c>
      <c r="K45" s="11" t="inlineStr">
        <is>
          <t>Good</t>
        </is>
      </c>
      <c r="L45" s="12" t="inlineStr">
        <is>
          <t>Everyone is into history (3 of 4 love it). No clashes.</t>
        </is>
      </c>
      <c r="M45" s="14" t="inlineStr">
        <is>
          <t>Rules (no AI call)</t>
        </is>
      </c>
      <c r="N45" s="15" t="n"/>
      <c r="O45" s="16" t="n"/>
      <c r="P45" s="17" t="inlineStr">
        <is>
          <t>Headline: Four Black Diamond history buffs meet at the museum this Sunday
Ryan: Ryan, your small group for the Black Diamond Museum visit is set for Sunday 1 Nov, 10:00-11:30am at the Historical Society &amp; Museum on Railroad Ave. You'll be joined by Greg, Claire L., and Claire B. — all retirees who share your love of history, so expect some good conversation among the exhibits.
Greg: Greg, you're confirmed for the Black Diamond Museum visit this Sunday 1 Nov, 10:00-11:30am on Railroad Ave — a civilized 10am start, not too early. You'll be with Ryan, Claire L., and Claire B., fellow retirees who all love history as much as you do.
Claire: Claire, your group for the Black Diamond Museum visit is confirmed for Sunday 1 Nov, 10:00-11:30am at the Historical Society &amp; Museum on Railroad Ave. You'll meet Ryan, Greg, and Claire B., all retirees who share your love of history, and the museum setting should suit your preference for quieter places.
Claire: Claire, you're all set for the Black Diamond Museum visit Sunday 1 Nov, 10:00-11:30am on Railroad Ave. Joining you are Ryan, Greg, and Claire L. — fellow history lovers, and Ryan even shares your interest in baseball and gardening, so you two should hit it off right away.</t>
        </is>
      </c>
      <c r="Q45" s="14" t="inlineStr">
        <is>
          <t>T1 2026-11-01/g9</t>
        </is>
      </c>
      <c r="R45" s="14" t="inlineStr">
        <is>
          <t>proposed #844, plan #824, locked #1077, messages #1095</t>
        </is>
      </c>
    </row>
    <row r="46" ht="199" customHeight="1">
      <c r="A46" s="11" t="n">
        <v>45</v>
      </c>
      <c r="B46" s="11" t="inlineStr">
        <is>
          <t>T1
before fixes</t>
        </is>
      </c>
      <c r="C46" s="12" t="inlineStr">
        <is>
          <t>Sun 1 Nov
afternoon, 1:30pm-3:30pm</t>
        </is>
      </c>
      <c r="D46" s="13" t="inlineStr">
        <is>
          <t>Cribbage and coffee
Black Diamond Bakery
low cost, 4 people</t>
        </is>
      </c>
      <c r="E46" s="12" t="inlineStr">
        <is>
          <t>Grace, 83, retiree: loves cards
Tom, 76, retiree: likes cards
Hannah, 84, remote worker: loves coffee [side interest]
Jack, 20, student: loves cards</t>
        </is>
      </c>
      <c r="F46" s="12" t="inlineStr">
        <is>
          <t>Card lovers across generations over coffee, a classic four-hand cribbage table.</t>
        </is>
      </c>
      <c r="G46" s="12" t="inlineStr">
        <is>
          <t>Asked 4 times: 4 yes, 0 no, 0 counter.
Locked by code with 4 yes (needs 2+).</t>
        </is>
      </c>
      <c r="H46" s="12" t="inlineStr">
        <is>
          <t>Grace (round 1): YES
  Grace loves cards, Sunday afternoon is free, and a four-hand cribbage game with neighbors sounds perfect — she's in!
Tom (round 1): YES
  Tom's free Sunday afternoon and loves cards, so cribbage and coffee with neighbors at Black Diamond Bakery sounds great. Count him in.
Hannah (round 1): YES
  Hannah's free Sunday afternoon and loves good coffee, so coffee and cribbage with neighbors at Black Diamond Bakery sounds like a nice fit — count her in.
Jack (round 1): YES
  Sunday afternoon works great for Jack, and cribbage ticks the cards/board games box perfectly. He's in!</t>
        </is>
      </c>
      <c r="I46" s="12" t="inlineStr">
        <is>
          <t>None: every rule held.</t>
        </is>
      </c>
      <c r="J46" s="12" t="inlineStr">
        <is>
          <t>golf (Grace, Tom); cards (Grace, Tom, Jack); basketball (Grace, Hannah); photography (Tom, Hannah); watch sports (Hannah, Jack)</t>
        </is>
      </c>
      <c r="K46" s="11" t="inlineStr">
        <is>
          <t>OK</t>
        </is>
      </c>
      <c r="L46" s="12" t="inlineStr">
        <is>
          <t>The group locked cleanly with four quick yeses and no counters or declines, and all four agents answered in line with their profiles. The main weakness is composition: Hannah has no card interest at all while two keen card lovers (Liam A., Claire B.) sat unasked in the same break room, and the alternates chosen were also non-card people. Final messages are accurate on names and logistics but slightly inflate shared interests.</t>
        </is>
      </c>
      <c r="M46" s="14" t="inlineStr">
        <is>
          <t>Fable 5.1 audit</t>
        </is>
      </c>
      <c r="N46" s="15" t="n"/>
      <c r="O46" s="16" t="n"/>
      <c r="P46" s="17" t="inlineStr">
        <is>
          <t>Headline: Cribbage and coffee brings four card lovers together in Black Diamond
Grace: Grace, your cribbage and coffee gathering is set for Sunday 1 Nov, 1:30-3:30pm at Black Diamond Bakery, with Tom, Hannah, and Jack. You and Tom both love cards and golf, so the cribbage board should spark some friendly competition right away.
Tom: Tom, you're confirmed for cribbage and coffee this Sunday 1 Nov, 1:30-3:30pm at Black Diamond Bakery, joining Grace, Hannah, and Jack. Grace shares your love of cards and golf, so expect some good back-and-forth over the cribbage board.
Hannah: Hannah, your Black Diamond Bakery meetup is locked in for Sunday 1 Nov, 1:30-3:30pm with Grace, Tom, and Jack. You love coffee just as much as cards get played, and you and Grace also share a love for basketball, so there's plenty to talk about.
Jack: Jack, you're all set for cribbage and coffee this Sunday 1 Nov, 1:30-3:30pm at Black Diamond Bakery with Grace, Tom, and Hannah. Both Grace and Tom love cards as much as you do, so the cribbage table should be lively from the start.</t>
        </is>
      </c>
      <c r="Q46" s="14" t="inlineStr">
        <is>
          <t>T1 2026-11-01/g10</t>
        </is>
      </c>
      <c r="R46" s="14" t="inlineStr">
        <is>
          <t>proposed #845, plan #824, locked #1078, messages #1097</t>
        </is>
      </c>
    </row>
    <row r="47" ht="214" customHeight="1">
      <c r="A47" s="18" t="n">
        <v>46</v>
      </c>
      <c r="B47" s="18" t="inlineStr">
        <is>
          <t>P2
after fixes</t>
        </is>
      </c>
      <c r="C47" s="19" t="inlineStr">
        <is>
          <t>Wed 28 Oct
evening, 7pm-9pm</t>
        </is>
      </c>
      <c r="D47" s="20" t="inlineStr">
        <is>
          <t>Trivia night as one team
a Black Diamond taproom
low cost, 4 people</t>
        </is>
      </c>
      <c r="E47" s="19" t="inlineStr">
        <is>
          <t>Kavya, 25, commuter: loves trivia
Rachel, 29, commuter: loves craft beer [side interest]
Lauren, 28, remote worker: loves craft beer [side interest]
Rosa, 43, commuter: loves craft beer [side interest]</t>
        </is>
      </c>
      <c r="F47" s="19" t="inlineStr">
        <is>
          <t>Four neighbors aged 25-43 who'd enjoy a taproom night: one genuine trivia buff to carry the team and three craft-beer fans along for the pints and company.</t>
        </is>
      </c>
      <c r="G47" s="19" t="inlineStr">
        <is>
          <t>Asked 4 times: 4 yes, 0 no, 0 counter.
Locked by code with 4 yes (needs 2+).</t>
        </is>
      </c>
      <c r="H47" s="19" t="inlineStr">
        <is>
          <t>Kavya (round 1): YES
  Wednesday 7-9pm works great for Kavya, and trivia is one of her favorite things! She's in for taproom trivia night.
Rachel (round 1): YES
  Craft beer at a local taproom with neighbors on Wednesday evening works great for Rachel, no long drive and she's free that night — count her in!
Lauren (round 1): YES
  This works well for Lauren—Wednesday evening is free, craft beer at a taproom fits her tastes, and it's low-cost. She's in for trivia night!
Rosa (round 1): YES
  Rosa's free Wednesday evening and loves craft beer and casual socializing, so trivia night at the taproom sounds great — count her in.</t>
        </is>
      </c>
      <c r="I47" s="19" t="inlineStr">
        <is>
          <t>None: every rule held.</t>
        </is>
      </c>
      <c r="J47" s="19" t="inlineStr">
        <is>
          <t>live music (Kavya, Rachel); hiking (Kavya, Rosa); running (Kavya, Rachel, Lauren); volunteering (Kavya, Lauren); craft beer (Rachel, Lauren, Rosa); yoga (Lauren, Rosa)</t>
        </is>
      </c>
      <c r="K47" s="18" t="inlineStr">
        <is>
          <t>OK</t>
        </is>
      </c>
      <c r="L47" s="19" t="inlineStr">
        <is>
          <t>Rachel, lauren, rosa are here for a side interest, not trivia.</t>
        </is>
      </c>
      <c r="M47" s="21" t="inlineStr">
        <is>
          <t>Rules (no AI call)</t>
        </is>
      </c>
      <c r="N47" s="15" t="n"/>
      <c r="O47" s="16" t="n"/>
      <c r="P47" s="22" t="inlineStr">
        <is>
          <t>Headline: Your trivia team is set for Black Diamond — Wednesday 7pm!
Kavya: Hey Kavya, your trivia team is locked in: you, Rachel, Lauren, and Rosa, Wednesday 28 Oct at a Black Diamond taproom, 7-9pm. You and Rachel both love live music, so expect some good banter between rounds.
Rachel: Hi Rachel, you're all set for trivia night at a Black Diamond taproom on Wednesday 28 Oct, 7-9pm, teamed up with Kavya, Lauren, and Rosa. You, Lauren, and Rosa all love craft beer, so the drink order should be an easy consensus.
Lauren: Hey Lauren, your trivia squad for Wednesday 28 Oct (7-9pm) at a Black Diamond taproom is Kavya, Rachel, and Rosa. You and Kavya both love volunteering, so you'll have plenty to chat about outside the quiz questions.
Rosa: Hi Rosa, you're joining Kavya, Rachel, and Lauren for trivia night at a Black Diamond taproom, Wednesday 28 Oct, 7-9pm. You and Kavya both love hiking, so that's a solid icebreaker before the first round starts.</t>
        </is>
      </c>
      <c r="Q47" s="21" t="inlineStr">
        <is>
          <t>P2 2026-10-28/g1</t>
        </is>
      </c>
      <c r="R47" s="21" t="inlineStr">
        <is>
          <t>proposed #42, plan #34, locked #171, messages #177</t>
        </is>
      </c>
    </row>
    <row r="48" ht="199" customHeight="1">
      <c r="A48" s="18" t="n">
        <v>47</v>
      </c>
      <c r="B48" s="18" t="inlineStr">
        <is>
          <t>P2
after fixes</t>
        </is>
      </c>
      <c r="C48" s="19" t="inlineStr">
        <is>
          <t>Wed 28 Oct
evening, 6pm-7:30pm</t>
        </is>
      </c>
      <c r="D48" s="20" t="inlineStr">
        <is>
          <t>Pickleball doubles
public courts in Maple Valley
free, 4 people</t>
        </is>
      </c>
      <c r="E48" s="19" t="inlineStr">
        <is>
          <t>Andres, 64, commuter: loves pickleball
Quinn, 49, commuter: loves pickleball
Kevin, 30, commuter: loves pickleball
Heather, 31, commuter: loves pickleball</t>
        </is>
      </c>
      <c r="F48" s="19" t="inlineStr">
        <is>
          <t>Four neighbors who all rate pickleball at the top make an ideal doubles foursome.</t>
        </is>
      </c>
      <c r="G48" s="19" t="inlineStr">
        <is>
          <t>Asked 4 times: 4 yes, 0 no, 0 counter.
Locked by code with 4 yes (needs 2+).</t>
        </is>
      </c>
      <c r="H48" s="19" t="inlineStr">
        <is>
          <t>Andres (round 1): YES
  Wednesday evening works great for Andres, and pickleball is one of his favorites. He's in!
Quinn (round 1): YES
  Quinn's free Wednesday evening and loves pickleball, plus it's free at public courts - perfect fit. Count Quinn in!
Kevin (round 1): YES
  Wednesday 6-7:30pm pickleball at Maple Valley courts works great for Kevin — free, fits his evening, and he loves pickleball. Count him in!
Heather (round 1): YES
  Wednesday 6-7:30pm pickleball at Maple Valley courts works great for Heather — free, close by, and fits her free evening. Count her in!</t>
        </is>
      </c>
      <c r="I48" s="19" t="inlineStr">
        <is>
          <t>None: every rule held.</t>
        </is>
      </c>
      <c r="J48" s="19" t="inlineStr">
        <is>
          <t>live music (Andres, Kevin, Heather); dining (Andres, Kevin); hiking (Andres, Heather); pickleball (Andres, Quinn, Kevin, Heather); running (Quinn, Kevin, Heather); baseball (Quinn, Kevin)</t>
        </is>
      </c>
      <c r="K48" s="18" t="inlineStr">
        <is>
          <t>Good</t>
        </is>
      </c>
      <c r="L48" s="19" t="inlineStr">
        <is>
          <t>A clean four-person pickleball doubles group where every member lists pickleball as a top interest, is free Wednesday evening, and the event is free, satisfying the two budget-conscious members. All four agents accepted on the first round with reasons matching their profiles, and the matchmaker locked without needing alternates or re-asks. The only blemishes are minor: the final messages inflate Heather's 'up for' running into a shared 'love', and the proximity claims to Kevin and Heather rest on nothing visible in the log.</t>
        </is>
      </c>
      <c r="M48" s="21" t="inlineStr">
        <is>
          <t>Fable 5.1 audit</t>
        </is>
      </c>
      <c r="N48" s="15" t="n"/>
      <c r="O48" s="16" t="n"/>
      <c r="P48" s="22" t="inlineStr">
        <is>
          <t>Headline: Four pickleball lovers are set for Maple Valley courts this Wednesday
Andres: Andres, you're confirmed for pickleball doubles at the Maple Valley public courts on Wednesday 28 Oct, 6-7:30pm, alongside Quinn, Kevin, and Heather. You and Kevin both love live music and dining, so expect plenty to chat about between games. Everyone on this court shares your love of pickleball, so it should be a fun match.
Quinn: Quinn, you're set for pickleball doubles at the Maple Valley public courts this Wednesday 28 Oct, 6-7:30pm, with Andres, Kevin, and Heather. You, Kevin, and Heather all love running, so you'll have that in common off the court too. Kevin also shares your love of baseball, giving you two even more to talk about.
Kevin: Kevin, you're confirmed for pickleball doubles at the Maple Valley public courts on Wednesday 28 Oct, 6-7:30pm, joining Andres, Quinn, and Heather. You and Andres both love live music and dining, and you and Quinn both love baseball, so there's plenty of common ground beyond the court. Heather and Quinn also share your love of running.
Heather: Heather, you're set for pickleball doubles at the Maple Valley public courts this Wednesday 28 Oct, 6-7:30pm, with Andres, Quinn, and Kevin. You and Andres both really like hiking, and you and Kevin share a love of live music, so you'll have plenty to bond over. Quinn and Kevin also share your love of running.</t>
        </is>
      </c>
      <c r="Q48" s="21" t="inlineStr">
        <is>
          <t>P2 2026-10-28/g2</t>
        </is>
      </c>
      <c r="R48" s="21" t="inlineStr">
        <is>
          <t>proposed #43, plan #34, locked #172, messages #179</t>
        </is>
      </c>
    </row>
    <row r="49" ht="169" customHeight="1">
      <c r="A49" s="18" t="n">
        <v>48</v>
      </c>
      <c r="B49" s="18" t="inlineStr">
        <is>
          <t>P2
after fixes</t>
        </is>
      </c>
      <c r="C49" s="19" t="inlineStr">
        <is>
          <t>Wed 28 Oct
evening, 5:30pm-6:45pm</t>
        </is>
      </c>
      <c r="D49" s="20" t="inlineStr">
        <is>
          <t>Evening walk on the Ten Trails paths
Ten Trails trail network
free, 3 people</t>
        </is>
      </c>
      <c r="E49" s="19" t="inlineStr">
        <is>
          <t>Isabel, 23, commuter: loves running, likes hiking, loves dog walks
Dylan, 58, commuter: loves running, loves hiking [side interest]
Donna, 61, remote worker: likes running, likes dog walks</t>
        </is>
      </c>
      <c r="F49" s="19" t="inlineStr">
        <is>
          <t>Three runners and walkers, with dog walking and hiking in common, for a quiet, uncrowded loop of the Ten Trails paths.</t>
        </is>
      </c>
      <c r="G49" s="19" t="inlineStr">
        <is>
          <t>Asked 3 times: 3 yes, 0 no, 0 counter.
Locked by code with 3 yes (needs 2+).</t>
        </is>
      </c>
      <c r="H49" s="19" t="inlineStr">
        <is>
          <t>Isabel (round 1): YES
  This works great for Isabel — Wednesday evening is free, it's a free, low-key small group (not crowded or competitive), dogs welcome fits her love of dog walks and running. She's in!
Dylan (round 1): YES
  Wednesday evening works great for Dylan—free, local, and running/hiking with neighbors is right up his alley. Count him in.
Donna (round 1): YES
  Wednesday evening works great for Donna—free then, small group not a crowd, dogs welcome, and a bit of walking/running is right up her alley. Count her in!</t>
        </is>
      </c>
      <c r="I49" s="19" t="inlineStr">
        <is>
          <t>None: every rule held.</t>
        </is>
      </c>
      <c r="J49" s="19" t="inlineStr">
        <is>
          <t>running (Isabel, Dylan, Donna); hiking (Isabel, Dylan); craft beer (Isabel, Donna); dog walks (Isabel, Donna)</t>
        </is>
      </c>
      <c r="K49" s="18" t="inlineStr">
        <is>
          <t>OK</t>
        </is>
      </c>
      <c r="L49" s="19" t="inlineStr">
        <is>
          <t>Dylan is here for a side interest, not dog walks.</t>
        </is>
      </c>
      <c r="M49" s="21" t="inlineStr">
        <is>
          <t>Rules (no AI call)</t>
        </is>
      </c>
      <c r="N49" s="15" t="n"/>
      <c r="O49" s="16" t="n"/>
      <c r="P49" s="22" t="inlineStr">
        <is>
          <t>Headline: Three runners hit the Ten Trails paths together
Isabel: Isabel, your evening walk on the Ten Trails paths is set for Wednesday 28 Oct, 5:30–6:45pm, alongside Dylan and Donna. All three of you are runners, and you and Dylan also share a love of hiking — good company for a trail-loving crew.
Dylan: Dylan, you're confirmed for the evening walk on the Ten Trails paths, Wednesday 28 Oct, 5:30–6:45pm, right in your home turf, with Isabel and Donna joining you. You and Isabel both love running and hiking, so the pace should suit you both well.
Donna: Donna, your evening walk on the Ten Trails paths is confirmed for Wednesday 28 Oct, 5:30–6:45pm, with Isabel and Dylan. You and Isabel both love dog walks and craft beer, and all three of you share a love of running, so there's plenty to chat about on the trail.</t>
        </is>
      </c>
      <c r="Q49" s="21" t="inlineStr">
        <is>
          <t>P2 2026-10-28/g3</t>
        </is>
      </c>
      <c r="R49" s="21" t="inlineStr">
        <is>
          <t>proposed #44, plan #34, locked #173, messages #181</t>
        </is>
      </c>
    </row>
    <row r="50" ht="229" customHeight="1">
      <c r="A50" s="18" t="n">
        <v>49</v>
      </c>
      <c r="B50" s="18" t="inlineStr">
        <is>
          <t>P2
after fixes</t>
        </is>
      </c>
      <c r="C50" s="19" t="inlineStr">
        <is>
          <t>Wed 28 Oct
morning, 9:30am-11am</t>
        </is>
      </c>
      <c r="D50" s="20" t="inlineStr">
        <is>
          <t>Coffee and pastries at the Black Diamond Bakery
Black Diamond Bakery
low cost, 4 people</t>
        </is>
      </c>
      <c r="E50" s="19" t="inlineStr">
        <is>
          <t>Mark, 44, shift worker: loves coffee, likes baking
Chris, 36, parent at home: is up for coffee, loves baking
Brian, 48, parent at home: loves baking [side interest]
Imani, 40, parent at home: loves coffee</t>
        </is>
      </c>
      <c r="F50" s="19" t="inlineStr">
        <is>
          <t>Four parents with kids who love coffee and baking share a relaxed, not-too-early table at the bakery.</t>
        </is>
      </c>
      <c r="G50" s="19" t="inlineStr">
        <is>
          <t>Asked 4 times: 4 yes, 0 no, 0 counter.
Locked by code with 4 yes (needs 2+).</t>
        </is>
      </c>
      <c r="H50" s="19" t="inlineStr">
        <is>
          <t>Mark (round 1): YES
  This works well for Mark—Wednesday morning is free, coffee and baked goods fit his tastes perfectly, and low-cost with fellow parents is a great match. He's in!
Chris (round 1): YES
  This works well for Chris — Wednesday morning is free, 9:30am isn't too early, and coffee plus a bakery meetup with fellow baking fans is right up their alley. Count Chris in!
Brian (round 1): YES
  Wednesday morning works great for Brian, and coffee with pastries while talking baking sounds right up his alley. Count him in!
Imani (round 1): YES
  This fits perfectly - Wednesday morning is free, it's close to home so no long drive, coffee is something Imani loves, and it's low-cost. Count her in!</t>
        </is>
      </c>
      <c r="I50" s="19" t="inlineStr">
        <is>
          <t>None: every rule held.</t>
        </is>
      </c>
      <c r="J50" s="19" t="inlineStr">
        <is>
          <t>coffee (Mark, Chris, Imani); baking (Mark, Chris, Brian); picnics (Mark, Chris); dog walks (Mark, Brian)</t>
        </is>
      </c>
      <c r="K50" s="18" t="inlineStr">
        <is>
          <t>Good</t>
        </is>
      </c>
      <c r="L50" s="19" t="inlineStr">
        <is>
          <t>Four parents with kids, all free Wednesday morning and all with coffee or baking in their profiles, were offered a low-cost 9:30-11am bakery meetup that respects Chris's early-morning avoidance and Imani's low-drive and low-cost needs. All four agents said yes with profile-grounded reasons, the matchmaker correctly kept the group unchanged, and the final messages name only attendees. Only minor overstatements of shared interests appear in the pitches and confirmations.</t>
        </is>
      </c>
      <c r="M50" s="21" t="inlineStr">
        <is>
          <t>Fable 5.1 audit</t>
        </is>
      </c>
      <c r="N50" s="15" t="n"/>
      <c r="O50" s="16" t="n"/>
      <c r="P50" s="22" t="inlineStr">
        <is>
          <t>Headline: Coffee, pastries, and good company at Black Diamond Bakery this Wednesday
Mark: Mark, you're set for coffee and pastries at Black Diamond Bakery, Wednesday 28 Oct from 9:30-11am, with Chris, Brian, and Imani. You and Chris both love baking and picnics, so there's plenty to swap notes on, and Brian's right there with you on dog walks too.
Chris: Chris, you're confirmed for coffee and pastries at Black Diamond Bakery, Wednesday 28 Oct, 9:30-11am, alongside Mark, Brian, and Imani. You and Mark share a love of baking and picnics, so expect good conversation over your coffee.
Brian: Brian, your coffee and pastries morning is set for Black Diamond Bakery, Wednesday 28 Oct, 9:30-11am, with Mark, Chris, and Imani. You and Mark both enjoy dog walks, and you and Chris are both into baking, so you'll have plenty in common at the table.
Imani: Imani, you're joining Mark, Chris, and Brian for coffee and pastries at Black Diamond Bakery, Wednesday 28 Oct, 9:30-11am. You, Mark, and Chris all love coffee, so this is right up your alley.</t>
        </is>
      </c>
      <c r="Q50" s="21" t="inlineStr">
        <is>
          <t>P2 2026-10-28/g4</t>
        </is>
      </c>
      <c r="R50" s="21" t="inlineStr">
        <is>
          <t>proposed #45, plan #34, locked #174, messages #183</t>
        </is>
      </c>
    </row>
    <row r="51" ht="214" customHeight="1">
      <c r="A51" s="18" t="n">
        <v>50</v>
      </c>
      <c r="B51" s="18" t="inlineStr">
        <is>
          <t>P2
after fixes</t>
        </is>
      </c>
      <c r="C51" s="19" t="inlineStr">
        <is>
          <t>Wed 28 Oct
morning, 8am-10am</t>
        </is>
      </c>
      <c r="D51" s="20" t="inlineStr">
        <is>
          <t>Birding walk at Lake Sawyer
Lake Sawyer Regional Park
free, 4 people</t>
        </is>
      </c>
      <c r="E51" s="19" t="inlineStr">
        <is>
          <t>Ron, 58, retiree: loves birding, likes photography
Noah, 77, retiree: loves birding
Claire, 72, retiree: likes birding
Wei, 43, parent at home: loves photography [side interest]</t>
        </is>
      </c>
      <c r="F51" s="19" t="inlineStr">
        <is>
          <t>Three keen birders and a photographer explore Lake Sawyer at a quiet early hour.</t>
        </is>
      </c>
      <c r="G51" s="19" t="inlineStr">
        <is>
          <t>Asked 4 times: 4 yes, 0 no, 0 counter.
Locked by code with 4 yes (needs 2+).</t>
        </is>
      </c>
      <c r="H51" s="19" t="inlineStr">
        <is>
          <t>Ron (round 1): YES
  Ron's free Wednesday morning and loves birding plus photography—sign him up for the Lake Sawyer walk!
Noah (round 1): YES
  This is a great fit—Noah loves birding and is free Wednesday morning. Sign him up for the 8-10am walk at Lake Sawyer Regional Park.
Claire (round 1): YES
  Claire would love to join the birding walk at Lake Sawyer Regional Park on Wednesday 8-10am - it's free, fits her free morning, and birding is one of her favorite activities.
Wei (round 1): YES
  This fits well—Wednesday morning is free, it's free cost, small non-competitive group, and the photography angle at the lake is right up Wei's alley. Let's do it.</t>
        </is>
      </c>
      <c r="I51" s="19" t="inlineStr">
        <is>
          <t>None: every rule held.</t>
        </is>
      </c>
      <c r="J51" s="19" t="inlineStr">
        <is>
          <t>birding (Ron, Noah, Claire); cards (Ron, Claire); photography (Ron, Wei); fishing (Noah, Claire)</t>
        </is>
      </c>
      <c r="K51" s="18" t="inlineStr">
        <is>
          <t>Good</t>
        </is>
      </c>
      <c r="L51" s="19" t="inlineStr">
        <is>
          <t>A free Wednesday-morning birding walk pairing three birders (Ron, Noah, Claire) with a photographer (Wei) who avoids crowds and competition. All four agents said yes with reasons that match their profiles and calendars, the matchmaker kept the original time with no declines or counters to handle, and the final messages name only confirmed members using profile facts. Only minor wording overstatements and a headline label the log can't fully support.</t>
        </is>
      </c>
      <c r="M51" s="21" t="inlineStr">
        <is>
          <t>Fable 5.1 audit</t>
        </is>
      </c>
      <c r="N51" s="15" t="n"/>
      <c r="O51" s="16" t="n"/>
      <c r="P51" s="22" t="inlineStr">
        <is>
          <t>Headline: Four Black Diamond neighbors meet at dawn for Lake Sawyer birds
Ron: Ron, your birding walk at Lake Sawyer Regional Park is set for Wednesday 28 Oct, 8-10am. You'll be out there with Noah and Claire, who both share your love of birding, plus Claire's also up for cards like you and Wei shares your photography interest — good crew for scanning the shoreline and maybe snapping a few shots.
Noah: Noah, you're confirmed for the birding walk at Lake Sawyer Regional Park, Wednesday 28 Oct from 8-10am. Ron and Claire are joining you and both love birding too, and Claire's also into fishing like you, so there should be plenty to talk about between bird sightings.
Claire: Claire, your birding walk at Lake Sawyer Regional Park is locked in for Wednesday 28 Oct, 8-10am. Ron and Noah will be there, both sharing your love of birding, and you and Ron can swap notes on cards while you and Noah compare fishing stories.
Wei: Wei, you're set for the birding walk at Lake Sawyer Regional Park on Wednesday 28 Oct, 8-10am, alongside Ron, Noah, and Claire. Ron shares your love of photography, so bring your camera — should be a good low-key morning out by the water.</t>
        </is>
      </c>
      <c r="Q51" s="21" t="inlineStr">
        <is>
          <t>P2 2026-10-28/g5</t>
        </is>
      </c>
      <c r="R51" s="21" t="inlineStr">
        <is>
          <t>proposed #46, plan #34, locked #175, messages #185</t>
        </is>
      </c>
    </row>
    <row r="52" ht="229" customHeight="1">
      <c r="A52" s="18" t="n">
        <v>51</v>
      </c>
      <c r="B52" s="18" t="inlineStr">
        <is>
          <t>P2
after fixes</t>
        </is>
      </c>
      <c r="C52" s="19" t="inlineStr">
        <is>
          <t>Wed 28 Oct
afternoon, 1pm-4pm</t>
        </is>
      </c>
      <c r="D52" s="20" t="inlineStr">
        <is>
          <t>Franklin ghost town hike
Franklin ghost town trail, Green River Gorge Rd
free, 4 people</t>
        </is>
      </c>
      <c r="E52" s="19" t="inlineStr">
        <is>
          <t>Carlos, 61, retiree: likes history, loves hiking
Ryan, 78, retiree: loves history [side interest]
Grace, 42, shift worker: loves hiking
Josh, 41, shift worker: loves hiking</t>
        </is>
      </c>
      <c r="F52" s="19" t="inlineStr">
        <is>
          <t>Hikers and history lovers explore the Franklin ghost town together at a comfortable afternoon hour.</t>
        </is>
      </c>
      <c r="G52" s="19" t="inlineStr">
        <is>
          <t>Asked 4 times: 4 yes, 0 no, 0 counter.
Locked by code with 4 yes (needs 2+).</t>
        </is>
      </c>
      <c r="H52" s="19" t="inlineStr">
        <is>
          <t>Carlos (round 1): YES
  This sounds great for Carlos — Wednesday afternoon works perfectly, he loves hiking and history, and a quiet small group outdoors is right up his alley. Count him in.
Ryan (round 1): YES
  Wednesday afternoon works great for Ryan—he's free then, loves history, and this ghost town hike sounds right up his alley. Free and local too. Count him in!
Grace (round 1): YES
  This works great for Grace—Wednesday afternoon is free, hiking is a top love, it's free, and the midday timing avoids both early mornings and late nights. She's in!
Josh (round 1): YES
  Wednesday 1-4pm works great for Josh — free, nearby, and hiking is right up his alley. Count him in!</t>
        </is>
      </c>
      <c r="I52" s="19" t="inlineStr">
        <is>
          <t>None: every rule held.</t>
        </is>
      </c>
      <c r="J52" s="19" t="inlineStr">
        <is>
          <t>history (Carlos, Ryan); hiking (Carlos, Grace, Josh); baseball (Ryan, Grace); watch sports (Grace, Josh)</t>
        </is>
      </c>
      <c r="K52" s="18" t="inlineStr">
        <is>
          <t>OK</t>
        </is>
      </c>
      <c r="L52" s="19" t="inlineStr">
        <is>
          <t>Ryan is here for a side interest, not hiking.</t>
        </is>
      </c>
      <c r="M52" s="21" t="inlineStr">
        <is>
          <t>Rules (no AI call)</t>
        </is>
      </c>
      <c r="N52" s="15" t="n"/>
      <c r="O52" s="16" t="n"/>
      <c r="P52" s="22" t="inlineStr">
        <is>
          <t>Headline: Your Franklin ghost town hike crew is set for Wednesday 1pm!
Carlos: Carlos, you're confirmed for the Franklin ghost town hike on Wed Oct 28, 1-4pm at Green River Gorge Rd. You'll be with Ryan, Grace, and Josh — Ryan shares your love of history, and ghost towns are basically history you can walk through.
Ryan: Ryan, your Franklin ghost town hike is a go for Wed Oct 28, 1-4pm on Green River Gorge Rd, alongside Carlos, Grace, and Josh. Carlos is as into history as you are, so you two will have plenty to dig into at an old townsite like this.
Grace: Grace, you're in for the Franklin ghost town hike Wed Oct 28, 1-4pm at Green River Gorge Rd with Carlos, Ryan, and Josh. Hiking is a shared love with Carlos and Josh, and Josh also geeks out over watch sports just like you.
Josh: Josh, your hike to the Franklin ghost town is confirmed for Wed Oct 28, 1-4pm on Green River Gorge Rd, with Carlos, Ryan, and Grace joining. You and Grace both love hiking and watching sports, so there's plenty to talk about on the trail.</t>
        </is>
      </c>
      <c r="Q52" s="21" t="inlineStr">
        <is>
          <t>P2 2026-10-28/g6</t>
        </is>
      </c>
      <c r="R52" s="21" t="inlineStr">
        <is>
          <t>proposed #47, plan #34, locked #176, messages #187</t>
        </is>
      </c>
    </row>
    <row r="53" ht="274" customHeight="1">
      <c r="A53" s="18" t="n">
        <v>52</v>
      </c>
      <c r="B53" s="18" t="inlineStr">
        <is>
          <t>P2
after fixes</t>
        </is>
      </c>
      <c r="C53" s="19" t="inlineStr">
        <is>
          <t>Sat 31 Oct
afternoon, 1pm-3:30pm</t>
        </is>
      </c>
      <c r="D53" s="20" t="inlineStr">
        <is>
          <t>Franklin ghost town hike
Franklin ghost town trail, Green River Gorge Rd
free, 5 people</t>
        </is>
      </c>
      <c r="E53" s="19" t="inlineStr">
        <is>
          <t>Carlos, 61, retiree: likes history, loves hiking
Ryan, 78, retiree: loves history [side interest]
Ron, 58, retiree: likes photography [side interest]
Wei, 43, parent at home: likes hiking, loves photography
Imani, 40, parent at home: loves hiking</t>
        </is>
      </c>
      <c r="F53" s="19" t="inlineStr">
        <is>
          <t>History buffs and photographers, mostly retirees plus two parents at home, exploring a ghost town at an easy afternoon pace.</t>
        </is>
      </c>
      <c r="G53" s="19" t="inlineStr">
        <is>
          <t>Asked 5 times: 5 yes, 0 no, 0 counter.
Locked by code with 5 yes (needs 2+).</t>
        </is>
      </c>
      <c r="H53" s="19" t="inlineStr">
        <is>
          <t>Carlos (round 1): YES
  This sounds great - Saturday afternoon works perfectly for Carlos, and combining hiking with ghost town history is right up his alley. Count him in.
Ryan (round 1): YES
  This sounds great - Ryan loves history and this free ghost town hike fits his Saturday afternoon perfectly. He's happy to join the group.
Ron (round 1): YES
  Saturday afternoon works great for Ron, and a photography-friendly hike with neighbors sounds like a fun, relaxed time. Count him in!
Wei (round 1): YES
  Saturday 1-3:30pm works great for Wei - free, hiking, and photo opportunities tick all the boxes, and a small group of 4 neighbors feels calm rather than crowded. Count Wei in!
Imani (round 1): YES
  Saturday 1-3:30pm works great for Imani — she loves hiking, it's free, and it's a short local trail, not a long drive. Count her in!</t>
        </is>
      </c>
      <c r="I53" s="19" t="inlineStr">
        <is>
          <t>None: every rule held.</t>
        </is>
      </c>
      <c r="J53" s="19" t="inlineStr">
        <is>
          <t>book club (Carlos, Ron); history (Carlos, Ryan); birding (Carlos, Ron); hiking (Carlos, Wei, Imani); farmers market (Carlos, Wei, Imani); photography (Ron, Wei)</t>
        </is>
      </c>
      <c r="K53" s="18" t="inlineStr">
        <is>
          <t>OK</t>
        </is>
      </c>
      <c r="L53" s="19" t="inlineStr">
        <is>
          <t>Ryan, ron are here for a side interest, not hiking.</t>
        </is>
      </c>
      <c r="M53" s="21" t="inlineStr">
        <is>
          <t>Rules (no AI call)</t>
        </is>
      </c>
      <c r="N53" s="15" t="n"/>
      <c r="O53" s="16" t="n"/>
      <c r="P53" s="22" t="inlineStr">
        <is>
          <t>Headline: Five Black Diamond neighbors, one ghost town trail — Saturday Oct 31
Carlos: Carlos, you're set for the Franklin ghost town hike on Saturday 31 Oct, 1-3:30pm at the trailhead on Green River Gorge Rd. You'll be with Ryan, Ron, Wei, and Imani — Ryan's your history match, so the old mining ruins should spark some good conversation.
Ryan: Ryan, your small group is confirmed for the Franklin ghost town hike, Saturday 31 Oct, 1-3:30pm, Green River Gorge Rd. Carlos, Ron, Wei, and Imani are joining you, and you and Carlos both love history, so this old townsite is right up your alley.
Ron: Ron, you're in for the Franklin ghost town hike Saturday 31 Oct, 1-3:30pm at the Green River Gorge Rd trailhead, alongside Carlos, Ryan, Wei, and Imani. You and Carlos share a love of book club and birding, and you and Wei both love photography, so bring your camera for the ghost town ruins.
Wei: Wei, your group's confirmed for the Franklin ghost town hike, Saturday 31 Oct, 1-3:30pm on Green River Gorge Rd, with Carlos, Ryan, Ron, and Imani. You, Carlos, and Imani all love hiking and farmers markets, so there's a lot in common among you three for the trail.
Imani: Imani, you're set for the Franklin ghost town hike Saturday 31 Oct, 1-3:30pm at the Green River Gorge Rd trailhead, with Carlos, Ryan, Ron, and Wei along. You, Carlos, and Wei all share a love of hiking and farmers markets, so it should be an easy, familiar kind of outing.</t>
        </is>
      </c>
      <c r="Q53" s="21" t="inlineStr">
        <is>
          <t>P2 2026-10-31/g1</t>
        </is>
      </c>
      <c r="R53" s="21" t="inlineStr">
        <is>
          <t>proposed #200, plan #192, locked #314, messages #320</t>
        </is>
      </c>
    </row>
    <row r="54" ht="214" customHeight="1">
      <c r="A54" s="18" t="n">
        <v>53</v>
      </c>
      <c r="B54" s="18" t="inlineStr">
        <is>
          <t>P2
after fixes</t>
        </is>
      </c>
      <c r="C54" s="19" t="inlineStr">
        <is>
          <t>Sat 31 Oct
morning, 9am-10am</t>
        </is>
      </c>
      <c r="D54" s="20" t="inlineStr">
        <is>
          <t>Easy 5K together
Ten Trails trail network
free, 4 people</t>
        </is>
      </c>
      <c r="E54" s="19" t="inlineStr">
        <is>
          <t>Hannah, 84, remote worker: loves running
Kavya, 25, commuter: loves running
Kevin, 30, commuter: likes running
Quinn, 49, commuter: likes running</t>
        </is>
      </c>
      <c r="F54" s="19" t="inlineStr">
        <is>
          <t>Four keen runners for an easy, non-competitive 5K and a chat afterward.</t>
        </is>
      </c>
      <c r="G54" s="19" t="inlineStr">
        <is>
          <t>Asked 4 times: 4 yes, 0 no, 0 counter.
Locked by code with 4 yes (needs 2+).</t>
        </is>
      </c>
      <c r="H54" s="19" t="inlineStr">
        <is>
          <t>Hannah (round 1): YES
  This works great for Hannah — Saturday morning is free, she loves running, and a relaxed 5K with neighbors sounds perfect. Count her in!
Kavya (round 1): YES
  Saturday morning works great for Kavya, and an easy 5K at Ten Trails with neighbors fits her love of running perfectly and it's free. Count her in!
Kevin (round 1): YES
  Saturday 9-10am works great for Kevin, and he really likes running — a free group 5K at Ten Trails sounds perfect. Count him in!
Quinn (round 1): YES
  Saturday morning works great for Quinn, and a free group 5K run fits right in with their love of running and pickleball-level activity. Count Quinn in!</t>
        </is>
      </c>
      <c r="I54" s="19" t="inlineStr">
        <is>
          <t>None: every rule held.</t>
        </is>
      </c>
      <c r="J54" s="19" t="inlineStr">
        <is>
          <t>running (Hannah, Kavya, Kevin, Quinn); watch sports (Hannah, Quinn); live music (Kavya, Kevin); trivia (Kavya, Kevin); pickleball (Kevin, Quinn); baseball (Kevin, Quinn)</t>
        </is>
      </c>
      <c r="K54" s="18" t="inlineStr">
        <is>
          <t>Good</t>
        </is>
      </c>
      <c r="L54" s="19" t="inlineStr">
        <is>
          <t>Four runners who are all free Saturday morning were offered a free, easy 5K, and every agent said yes with reasons that match their profiles. The matchmaker correctly kept the group as proposed and the final messages name only the four attendees using profile facts. Only minor wording overstatements and one unverifiable claim appear.</t>
        </is>
      </c>
      <c r="M54" s="21" t="inlineStr">
        <is>
          <t>Fable 5.1 audit</t>
        </is>
      </c>
      <c r="N54" s="15" t="n"/>
      <c r="O54" s="16" t="n"/>
      <c r="P54" s="22" t="inlineStr">
        <is>
          <t>Headline: Your Ten Trails 5K crew is set for Saturday 31 Oct, 9am-10am!
Hannah: Hi Hannah, your easy 5K at Ten Trails trail network is confirmed for Saturday 31 Oct, 9am-10am. You'll be running alongside Kavya, Kevin, and Quinn, all runners too, and you and Quinn can geek out over watch sports afterward.
Kavya: Hey Kavya, you're set for the easy 5K at Ten Trails on Saturday 31 Oct, 9am-10am with Hannah, Kevin, and Quinn. You and Kevin both love live music and trivia, so there should be plenty to chat about between laps.
Kevin: Hi Kevin, your group run is locked in for Saturday 31 Oct, 9am-10am at Ten Trails trail network, with Hannah, Kavya, and Quinn joining. You and Quinn both love pickleball and baseball, so that's an easy conversation starter on the trail.
Quinn: Hey Quinn, the easy 5K at Ten Trails trail network is confirmed for Saturday 31 Oct, 9am-10am, running with Hannah, Kavya, and Kevin. You and Kevin share a love of pickleball and baseball, so you two should hit it off fast.</t>
        </is>
      </c>
      <c r="Q54" s="21" t="inlineStr">
        <is>
          <t>P2 2026-10-31/g2</t>
        </is>
      </c>
      <c r="R54" s="21" t="inlineStr">
        <is>
          <t>proposed #201, plan #192, locked #315, messages #322</t>
        </is>
      </c>
    </row>
    <row r="55" ht="154" customHeight="1">
      <c r="A55" s="18" t="n">
        <v>54</v>
      </c>
      <c r="B55" s="18" t="inlineStr">
        <is>
          <t>P2
after fixes</t>
        </is>
      </c>
      <c r="C55" s="19" t="inlineStr">
        <is>
          <t>Sat 31 Oct
afternoon, 3pm-5pm</t>
        </is>
      </c>
      <c r="D55" s="20" t="inlineStr">
        <is>
          <t>Pints at Lumber House
Lumber House brewery
low cost, 3 people</t>
        </is>
      </c>
      <c r="E55" s="19" t="inlineStr">
        <is>
          <t>Rachel, 29, commuter: loves craft beer
Rosa, 43, commuter: loves craft beer
Heather, 31, commuter: likes craft beer</t>
        </is>
      </c>
      <c r="F55" s="19" t="inlineStr">
        <is>
          <t>Three craft-beer lovers, all of whom also enjoy live music, sharing a laid-back afternoon pint.</t>
        </is>
      </c>
      <c r="G55" s="19" t="inlineStr">
        <is>
          <t>Asked 3 times: 3 yes, 0 no, 0 counter.
Locked by code with 3 yes (needs 2+).</t>
        </is>
      </c>
      <c r="H55" s="19" t="inlineStr">
        <is>
          <t>Rachel (round 1): YES
  This fits perfectly—Rachel loves craft beer, is free Saturday afternoon, and low cost works great within her budget. Count her in!
Rosa (round 1): YES
  Rosa's free Saturday afternoon and loves craft beer, so pints at Lumber House with neighbors sounds great — count her in!
Heather (round 1): YES
  Saturday 3-5pm works great for Heather's free afternoon, and craft beer with neighbors fits her interests and budget perfectly. Count her in!</t>
        </is>
      </c>
      <c r="I55" s="19" t="inlineStr">
        <is>
          <t>None: every rule held.</t>
        </is>
      </c>
      <c r="J55" s="19" t="inlineStr">
        <is>
          <t>craft beer (Rachel, Rosa, Heather); running (Rachel, Heather); live music (Rachel, Heather); hiking (Rosa, Heather); golf (Rosa, Heather)</t>
        </is>
      </c>
      <c r="K55" s="18" t="inlineStr">
        <is>
          <t>Good</t>
        </is>
      </c>
      <c r="L55" s="19" t="inlineStr">
        <is>
          <t>A clean one-round negotiation: three craft-beer fans free Saturday afternoon were asked, all three said yes consistently with their profiles, and the group locked at the proposed time with accurate final messages naming only attendees. The only blemish is the matchmaker's internal rationale claiming all three enjoy live music when Rosa's profile never mentions it.</t>
        </is>
      </c>
      <c r="M55" s="21" t="inlineStr">
        <is>
          <t>Fable 5.1 audit</t>
        </is>
      </c>
      <c r="N55" s="15" t="n"/>
      <c r="O55" s="16" t="n"/>
      <c r="P55" s="22" t="inlineStr">
        <is>
          <t>Headline: Rachel, Rosa &amp; Heather are set for Pints at Lumber House!
Rachel: Hi Rachel! You're confirmed for Pints at Lumber House brewery, Saturday 31 Oct, 3-5pm, alongside Rosa and Heather. You're all craft beer lovers, so this round's right up your alley, and you and Heather can geek out over live music and running too.
Rosa: Hi Rosa! You're set for Pints at Lumber House brewery on Saturday 31 Oct, 3-5pm, with Rachel and Heather. All three of you love craft beer, and you and Heather also share a love of hiking and golf, so there's plenty to swap notes on.
Heather: Hi Heather! You're confirmed for Pints at Lumber House brewery, Saturday 31 Oct, 3-5pm, with Rachel and Rosa. Craft beer brings you all together, and you've got extra common ground with Rachel on running and live music, and with Rosa on hiking and golf.</t>
        </is>
      </c>
      <c r="Q55" s="21" t="inlineStr">
        <is>
          <t>P2 2026-10-31/g3</t>
        </is>
      </c>
      <c r="R55" s="21" t="inlineStr">
        <is>
          <t>proposed #202, plan #192, locked #316, messages #324</t>
        </is>
      </c>
    </row>
    <row r="56" ht="184" customHeight="1">
      <c r="A56" s="18" t="n">
        <v>55</v>
      </c>
      <c r="B56" s="18" t="inlineStr">
        <is>
          <t>P2
after fixes</t>
        </is>
      </c>
      <c r="C56" s="19" t="inlineStr">
        <is>
          <t>Sat 31 Oct
afternoon, 12:30pm-2:30pm</t>
        </is>
      </c>
      <c r="D56" s="20" t="inlineStr">
        <is>
          <t>Paddle Lake Sawyer
Lake Sawyer Regional Park boat launch
low cost, 3 people</t>
        </is>
      </c>
      <c r="E56" s="19" t="inlineStr">
        <is>
          <t>Andres, 64, commuter: loves boating [side interest]
Donna, 61, remote worker: likes kayaking, is up for boating
Lauren, 28, remote worker: loves kayaking</t>
        </is>
      </c>
      <c r="F56" s="19" t="inlineStr">
        <is>
          <t>Three water lovers paddling Lake Sawyer together in a small, uncrowded group.</t>
        </is>
      </c>
      <c r="G56" s="19" t="inlineStr">
        <is>
          <t>Asked 3 times: 3 yes, 0 no, 0 counter.
Locked by code with 3 yes (needs 2+).</t>
        </is>
      </c>
      <c r="H56" s="19" t="inlineStr">
        <is>
          <t>Andres (round 1): YES
  Saturday 12:30-2:30pm works great for Andres—he's free that afternoon and loves boating, so paddling Lake Sawyer with neighbors sounds perfect.
Donna (round 1): YES
  Donna's free Saturday afternoon and loves kayaking, and a small group of just 2 neighbors keeps it well within her crowd comfort. This sounds like a great fit - count her in for Lake Sawyer!
Lauren (round 1): YES
  This is a great fit for Lauren—kayaking is one of her favorite activities, Saturday afternoon is free, and the low cost works with her budget. She'd love to join!</t>
        </is>
      </c>
      <c r="I56" s="19" t="inlineStr">
        <is>
          <t>None: every rule held.</t>
        </is>
      </c>
      <c r="J56" s="19" t="inlineStr">
        <is>
          <t>volunteering (Andres, Lauren); boating (Andres, Donna); running (Donna, Lauren); kayaking (Donna, Lauren); craft beer (Donna, Lauren)</t>
        </is>
      </c>
      <c r="K56" s="18" t="inlineStr">
        <is>
          <t>Good</t>
        </is>
      </c>
      <c r="L56" s="19" t="inlineStr">
        <is>
          <t>Three neighbors with genuine on-water interests (boating, kayaking) were offered a low-cost Saturday afternoon paddle that fits all three calendars and Lauren's budget, and every agent said yes for reasons grounded in its profile. The matchmaker locked the group without changes and sent final messages that name only the three members and draw on profile facts. The only nit is slightly inflated wording about how strongly some members 'love' shared interests.</t>
        </is>
      </c>
      <c r="M56" s="21" t="inlineStr">
        <is>
          <t>Fable 5.1 audit</t>
        </is>
      </c>
      <c r="N56" s="15" t="n"/>
      <c r="O56" s="16" t="n"/>
      <c r="P56" s="22" t="inlineStr">
        <is>
          <t>Headline: Your Lake Sawyer paddle crew is set for Saturday 10/31!
Andres: Andres, you're all set to paddle Lake Sawyer with Donna and Lauren this Saturday, Oct 31, 12:30-2:30pm at the Lake Sawyer Regional Park boat launch. You and Donna both love boating, so you two should hit it off out on the water.
Donna: Donna, your small group for paddling Lake Sawyer is confirmed with Andres and Lauren, Saturday Oct 31, 12:30-2:30pm at the Lake Sawyer Regional Park boat launch. You and Lauren share a love for kayaking, running, and craft beer, so expect plenty to talk about between strokes.
Lauren: Lauren, you're paddling Lake Sawyer this Saturday Oct 31, 12:30-2:30pm at the Lake Sawyer Regional Park boat launch with Donna and Andres. You and Donna both love kayaking, running, and craft beer, and you and Andres are both up for volunteering, so this group lines up nicely with your interests.</t>
        </is>
      </c>
      <c r="Q56" s="21" t="inlineStr">
        <is>
          <t>P2 2026-10-31/g4</t>
        </is>
      </c>
      <c r="R56" s="21" t="inlineStr">
        <is>
          <t>proposed #203, plan #192, locked #317, messages #326</t>
        </is>
      </c>
    </row>
    <row r="57" ht="154" customHeight="1">
      <c r="A57" s="18" t="n">
        <v>56</v>
      </c>
      <c r="B57" s="18" t="inlineStr">
        <is>
          <t>P2
after fixes</t>
        </is>
      </c>
      <c r="C57" s="19" t="inlineStr">
        <is>
          <t>Sat 31 Oct
evening, 6pm-8:30pm</t>
        </is>
      </c>
      <c r="D57" s="20" t="inlineStr">
        <is>
          <t>Board game night
a neighbor's table (the host rotates)
free, 3 people</t>
        </is>
      </c>
      <c r="E57" s="19" t="inlineStr">
        <is>
          <t>Jack, 20, student: loves board games, loves cards
Grace, 42, shift worker: likes cards [side interest]
Ron, 19, shift worker: likes cards [side interest]</t>
        </is>
      </c>
      <c r="F57" s="19" t="inlineStr">
        <is>
          <t>Three card players at an early, friendly game night that wraps up well before late.</t>
        </is>
      </c>
      <c r="G57" s="19" t="inlineStr">
        <is>
          <t>Asked 3 times: 3 yes, 0 no, 0 counter.
Locked by code with 3 yes (needs 2+).</t>
        </is>
      </c>
      <c r="H57" s="19" t="inlineStr">
        <is>
          <t>Jack (round 1): YES
  Saturday 6-8:30pm works great for Jack—he's free that evening and loves board games and cards. Count him in!
Grace (round 1): YES
  Saturday evening works great for Grace, and cards with neighbors sounds fun and free — count her in!
Ron (round 1): YES
  Ron's free Saturday evening and loves cards, plus it's casual (not competitive) and wraps up by 8:30, well before late night - sounds great, count him in!</t>
        </is>
      </c>
      <c r="I57" s="19" t="inlineStr">
        <is>
          <t>None: every rule held.</t>
        </is>
      </c>
      <c r="J57" s="19" t="inlineStr">
        <is>
          <t>watch sports (Jack, Grace); cards (Jack, Grace, Ron)</t>
        </is>
      </c>
      <c r="K57" s="18" t="inlineStr">
        <is>
          <t>Good</t>
        </is>
      </c>
      <c r="L57" s="19" t="inlineStr">
        <is>
          <t>A clean three-person board game night: all three members are free Saturday evening, all list cards as a love or strong like, the event is free (fitting Grace's budget), and the 8:30pm end respects Grace's and Ron's avoidance of late nights. Every agent said yes for reasons grounded in its profile, the matchmaker kept the plan unchanged, and the final messages name only attendees and use only profile facts.</t>
        </is>
      </c>
      <c r="M57" s="21" t="inlineStr">
        <is>
          <t>Fable 5.1 audit</t>
        </is>
      </c>
      <c r="N57" s="15" t="n"/>
      <c r="O57" s="16" t="n"/>
      <c r="P57" s="22" t="inlineStr">
        <is>
          <t>Headline: Board game night rotates to a neighbor's table in Downtown — Saturday 31 Oct, 6-8:30pm
Jack: Jack, your board game night is set for Saturday 31 Oct, 6-8:30pm at a neighbor's table in Downtown. You'll be with Grace and Ron — all three of you are card lovers, so expect a real game on the table, and Grace also shares your love of watching sports.
Grace: Grace, you're confirmed for board game night this Saturday 31 Oct, 6-8:30pm at a neighbor's rotating table in Downtown. Joining you are Jack and Ron, and since all three of you really like cards, it's a safe bet cards will make an appearance — plus Jack shares your love of watching sports.
Ron: Ron, your board game night is locked in for Saturday 31 Oct, 6-8:30pm at a neighbor's table in Downtown. You'll be sitting with Jack and Grace, and since you're all into cards, there's a good chance that's where the night lands.</t>
        </is>
      </c>
      <c r="Q57" s="21" t="inlineStr">
        <is>
          <t>P2 2026-10-31/g5</t>
        </is>
      </c>
      <c r="R57" s="21" t="inlineStr">
        <is>
          <t>proposed #204, plan #192, locked #318, messages #328</t>
        </is>
      </c>
    </row>
    <row r="58" ht="124" customHeight="1">
      <c r="A58" s="18" t="n">
        <v>57</v>
      </c>
      <c r="B58" s="18" t="inlineStr">
        <is>
          <t>P2
after fixes</t>
        </is>
      </c>
      <c r="C58" s="19" t="inlineStr">
        <is>
          <t>Sat 31 Oct
evening, 5:30pm-7pm</t>
        </is>
      </c>
      <c r="D58" s="20" t="inlineStr">
        <is>
          <t>Evening walk on the Ten Trails paths
Ten Trails trail network
free, 2 people</t>
        </is>
      </c>
      <c r="E58" s="19" t="inlineStr">
        <is>
          <t>Isabel, 23, commuter: loves running, likes hiking, loves dog walks
Josh, 41, shift worker: loves hiking [side interest]</t>
        </is>
      </c>
      <c r="F58" s="19" t="inlineStr">
        <is>
          <t>Two hiking enthusiasts sharing a quiet evening loop close to home.</t>
        </is>
      </c>
      <c r="G58" s="19" t="inlineStr">
        <is>
          <t>Asked 2 times: 2 yes, 0 no, 0 counter.
Locked by code with 2 yes (needs 2+).</t>
        </is>
      </c>
      <c r="H58" s="19" t="inlineStr">
        <is>
          <t>Isabel (round 1): YES
  Saturday evening works great for Isabel — free, small uncrowded group, dog-friendly hiking-style walk fits her likes perfectly. Let's book it!
Josh (round 1): YES
  Saturday evening works great for Josh, and a free walk at Ten Trails fits his love of hiking perfectly. Count him in!</t>
        </is>
      </c>
      <c r="I58" s="19" t="inlineStr">
        <is>
          <t>None: every rule held.</t>
        </is>
      </c>
      <c r="J58" s="19" t="inlineStr">
        <is>
          <t>hiking (Isabel, Josh)</t>
        </is>
      </c>
      <c r="K58" s="18" t="inlineStr">
        <is>
          <t>Good</t>
        </is>
      </c>
      <c r="L58" s="19" t="inlineStr">
        <is>
          <t>A clean two-person pairing of neighbors from the same village who both rank hiking highly, at a free evening slot both calendars show as open. Both agents said yes for reasons grounded in their profiles, the matchmaker needed no alternates or counters, and the final messages name only the two attendees with accurate facts. The only blemish is the matchmaker's small assumption that Isabel owns a dog.</t>
        </is>
      </c>
      <c r="M58" s="21" t="inlineStr">
        <is>
          <t>Fable 5.1 audit</t>
        </is>
      </c>
      <c r="N58" s="15" t="n"/>
      <c r="O58" s="16" t="n"/>
      <c r="P58" s="22" t="inlineStr">
        <is>
          <t>Headline: Isabel &amp; Josh are set for a Ten Trails evening walk
Isabel: Hi Isabel! Your small group is confirmed for an evening walk on the Ten Trails paths this Saturday, Oct 31, 5:30-7pm. You're joined by Josh, who's also big into hiking like you, so this stretch of trail should feel like easy common ground.
Josh: Hey Josh, you're all set for the evening walk at Ten Trails this Saturday, Oct 31, 5:30-7pm. You'll be walking with Isabel, a fellow hiking lover, so you two should have plenty to chat about on the trail.</t>
        </is>
      </c>
      <c r="Q58" s="21" t="inlineStr">
        <is>
          <t>P2 2026-10-31/g6</t>
        </is>
      </c>
      <c r="R58" s="21" t="inlineStr">
        <is>
          <t>proposed #205, plan #192, locked #319, messages #330</t>
        </is>
      </c>
    </row>
    <row r="59" ht="214" customHeight="1">
      <c r="A59" s="11" t="n">
        <v>58</v>
      </c>
      <c r="B59" s="11" t="inlineStr">
        <is>
          <t>T2
after fixes</t>
        </is>
      </c>
      <c r="C59" s="12" t="inlineStr">
        <is>
          <t>Sat 31 Oct
afternoon, 1pm-4pm</t>
        </is>
      </c>
      <c r="D59" s="13" t="inlineStr">
        <is>
          <t>Franklin ghost town hike
Franklin ghost town trail, Green River Gorge Rd
free, 4 people</t>
        </is>
      </c>
      <c r="E59" s="12" t="inlineStr">
        <is>
          <t>Imani, 52, remote worker: likes hiking, loves history
Carlos, 61, retiree: likes history, loves hiking
Mateo, 59, commuter: likes hiking, is up for history
Paolo, 37, parent at home: loves history [side interest]</t>
        </is>
      </c>
      <c r="F59" s="12" t="inlineStr">
        <is>
          <t>Four history lovers who also enjoy hiking, exploring the coal-mining ghost town together at a relaxed afternoon pace.</t>
        </is>
      </c>
      <c r="G59" s="12" t="inlineStr">
        <is>
          <t>Asked 4 times: 4 yes, 0 no, 0 counter.
Locked by code with 4 yes (needs 2+).</t>
        </is>
      </c>
      <c r="H59" s="12" t="inlineStr">
        <is>
          <t>Imani (round 1): YES
  Saturday 1-4pm works great for Imani — free, calm, combines hiking and history, and fits her open afternoon. Count her in!
Carlos (round 1): YES
  This fits well — Saturday afternoon is open, it's a hike with history woven in, and it's free. Carlos is happy to join the neighbors for the Franklin ghost town hike.
Mateo (round 1): YES
  Saturday 1-4pm works great for Mateo — he's free that afternoon and loves hiking with a dash of history. Count him in for the Franklin ghost town hike.
Paolo (round 1): YES
  This fits perfectly — Saturday afternoon is free, it's history-themed, free of cost, and non-competitive. Paolo's in!</t>
        </is>
      </c>
      <c r="I59" s="12" t="inlineStr">
        <is>
          <t>None: every rule held.</t>
        </is>
      </c>
      <c r="J59" s="12" t="inlineStr">
        <is>
          <t>hiking (Imani, Carlos, Mateo); history (Imani, Carlos, Mateo, Paolo)</t>
        </is>
      </c>
      <c r="K59" s="11" t="inlineStr">
        <is>
          <t>OK</t>
        </is>
      </c>
      <c r="L59" s="12" t="inlineStr">
        <is>
          <t>Paolo is here for a side interest, not hiking.</t>
        </is>
      </c>
      <c r="M59" s="14" t="inlineStr">
        <is>
          <t>Rules (no AI call)</t>
        </is>
      </c>
      <c r="N59" s="15" t="n"/>
      <c r="O59" s="16" t="n"/>
      <c r="P59" s="17" t="inlineStr">
        <is>
          <t>Headline: Your small group for the Franklin ghost town hike is set!
Imani: Imani, you're confirmed for the Franklin ghost town hike on Saturday 31 Oct, 1-4pm at the Franklin ghost town trail off Green River Gorge Rd. You'll be with Carlos and Mateo, who share your love of hiking, plus Paolo — and the whole group is into history, so the old townsite should hit the spot.
Carlos: Carlos, you're confirmed for the Franklin ghost town hike this Saturday 31 Oct, 1-4pm at the trail on Green River Gorge Rd. Imani and Mateo are fellow hikers in your group, and with Paolo along too, you've all got history in common for wandering through the old ghost town ruins.
Mateo: Mateo, you're set for the Franklin ghost town hike on Saturday 31 Oct, 1-4pm at Green River Gorge Rd. You'll be hiking alongside Imani and Carlos, and with Paolo rounding out the group, everyone shares an interest in history — perfect for exploring the old townsite together.
Paolo: Paolo, you're confirmed for the Franklin ghost town hike Saturday 31 Oct, 1-4pm at the trail on Green River Gorge Rd. You'll be joining Imani, Carlos, and Mateo, and since you all love history, the ghost town's backstory should be a highlight for the group.</t>
        </is>
      </c>
      <c r="Q59" s="14" t="inlineStr">
        <is>
          <t>T2 2026-10-31/g1</t>
        </is>
      </c>
      <c r="R59" s="14" t="inlineStr">
        <is>
          <t>proposed #216, plan #204, locked #438, messages #448</t>
        </is>
      </c>
    </row>
    <row r="60" ht="229" customHeight="1">
      <c r="A60" s="11" t="n">
        <v>59</v>
      </c>
      <c r="B60" s="11" t="inlineStr">
        <is>
          <t>T2
after fixes</t>
        </is>
      </c>
      <c r="C60" s="12" t="inlineStr">
        <is>
          <t>Sat 31 Oct
morning, 9am-11:30am</t>
        </is>
      </c>
      <c r="D60" s="13" t="inlineStr">
        <is>
          <t>Green River Gorge hike
Green River Gorge Conservation Area
free, 4 people</t>
        </is>
      </c>
      <c r="E60" s="12" t="inlineStr">
        <is>
          <t>Wei, 43, parent at home: likes hiking, loves photography
Susan, 54, remote worker: loves hiking, likes photography
Angelica, 51, commuter: likes hiking, is up for photography
Aaliyah, 33, remote worker: likes photography, likes fishing [side interest]</t>
        </is>
      </c>
      <c r="F60" s="12" t="inlineStr">
        <is>
          <t>A small photography-minded hiking group taking a slow scenic walk through the Gorge with cameras out.</t>
        </is>
      </c>
      <c r="G60" s="12" t="inlineStr">
        <is>
          <t>Asked 4 times: 4 yes, 0 no, 0 counter.
Locked by code with 4 yes (needs 2+).</t>
        </is>
      </c>
      <c r="H60" s="12" t="inlineStr">
        <is>
          <t>Wei (round 1): YES
  This works well for Wei — Saturday morning is free, hiking and photography are favorites, it's free, and a small unhurried group with no crowds or competition fits his preferences perfectly. Count him in!
Susan (round 1): YES
  Saturday morning works great for Susan—she's free then, loves hiking, and enjoys photography too, plus it's free. Count her in!
Angelica (round 1): YES
  This works great for Angelica — Saturday morning is free, hiking is one of her favorites, and the photography angle plus free cost make it an easy yes.
Aaliyah (round 1): YES
  Saturday morning works great for Aaliyah — she's free, and a small-group hike that combines photography and scouting fishing spots sounds right up her alley, plus it's free and not crowded. Count her in!</t>
        </is>
      </c>
      <c r="I60" s="12" t="inlineStr">
        <is>
          <t>None: every rule held.</t>
        </is>
      </c>
      <c r="J60" s="12" t="inlineStr">
        <is>
          <t>hiking (Wei, Susan, Angelica); photography (Wei, Susan, Angelica, Aaliyah); yoga (Susan, Aaliyah); craft beer (Susan, Angelica)</t>
        </is>
      </c>
      <c r="K60" s="11" t="inlineStr">
        <is>
          <t>OK</t>
        </is>
      </c>
      <c r="L60" s="12" t="inlineStr">
        <is>
          <t>Aaliyah is here for a side interest, not hiking.</t>
        </is>
      </c>
      <c r="M60" s="14" t="inlineStr">
        <is>
          <t>Rules (no AI call)</t>
        </is>
      </c>
      <c r="N60" s="15" t="n"/>
      <c r="O60" s="16" t="n"/>
      <c r="P60" s="17" t="inlineStr">
        <is>
          <t>Headline: Four Black Diamond neighbors, one trail, one morning at Green River Gorge
Wei: Wei, your small group for the Green River Gorge hike is set for Saturday 31 Oct, 9am-11:30am at the Green River Gorge Conservation Area. You'll be joined by Susan, Angelica, and Aaliyah — you've all got photography in common, so expect some stops along the trail to capture the gorge views.
Susan: Susan, you're confirmed for the Green River Gorge hike this Saturday 31 Oct, 9am-11:30am at the Green River Gorge Conservation Area, with Wei, Angelica, and Aaliyah. You and Angelica both love hiking and craft beer, so the trail chat should flow easily.
Angelica: Angelica, your hike group is locked in for Saturday 31 Oct, 9am-11:30am at the Green River Gorge Conservation Area, alongside Wei, Susan, and Aaliyah. You and Susan share a love of hiking and craft beer, so you'll have plenty to talk about on the trail and after.
Aaliyah: Aaliyah, you're set for the Green River Gorge hike on Saturday 31 Oct, 9am-11:30am at the Green River Gorge Conservation Area with Wei, Susan, and Angelica. Photography is the thread connecting all four of you, so bring your camera for the gorge views.</t>
        </is>
      </c>
      <c r="Q60" s="14" t="inlineStr">
        <is>
          <t>T2 2026-10-31/g2</t>
        </is>
      </c>
      <c r="R60" s="14" t="inlineStr">
        <is>
          <t>proposed #217, plan #204, locked #439, messages #450</t>
        </is>
      </c>
    </row>
    <row r="61" ht="229" customHeight="1">
      <c r="A61" s="11" t="n">
        <v>60</v>
      </c>
      <c r="B61" s="11" t="inlineStr">
        <is>
          <t>T2
after fixes</t>
        </is>
      </c>
      <c r="C61" s="12" t="inlineStr">
        <is>
          <t>Sat 31 Oct
evening, 7pm-9:30pm</t>
        </is>
      </c>
      <c r="D61" s="13" t="inlineStr">
        <is>
          <t>Kraken hockey night
Black Diamond Grill
low cost, 4 people</t>
        </is>
      </c>
      <c r="E61" s="12" t="inlineStr">
        <is>
          <t>Cody, 25, commuter: loves dining, loves watch sports
Rosa, 43, commuter: loves craft beer, loves watch sports
Kevin, 61, commuter: likes watch sports, loves craft beer
Olivia, 52, commuter: loves craft beer, loves dining [side interest]</t>
        </is>
      </c>
      <c r="F61" s="12" t="inlineStr">
        <is>
          <t>Sports fans and craft beer and dining fans sharing a table for the Kraken game.</t>
        </is>
      </c>
      <c r="G61" s="12" t="inlineStr">
        <is>
          <t>Asked 4 times: 4 yes, 0 no, 0 counter.
Locked by code with 4 yes (needs 2+).</t>
        </is>
      </c>
      <c r="H61" s="12" t="inlineStr">
        <is>
          <t>Cody (round 1): YES
  Saturday evening works great for Cody — watching the Kraken game over dinner checks both the watch sports and dining boxes. Count Cody in!
Rosa (round 1): YES
  Saturday evening works great for Rosa — watching Kraken hockey with craft beer and fellow sports fans at Black Diamond Grill sounds like a perfect low-cost fit. Count her in!
Kevin (round 1): YES
  Kevin's free Saturday evening and this is right up his alley — watching the Kraken with craft beer at a small table of 4 sounds great. He's in.
Olivia (round 1): YES
  Saturday evening works great for Olivia — dinner, craft beer, and a casual night with neighbors sounds like a fun fit. Count her in!</t>
        </is>
      </c>
      <c r="I61" s="12" t="inlineStr">
        <is>
          <t>None: every rule held.</t>
        </is>
      </c>
      <c r="J61" s="12" t="inlineStr">
        <is>
          <t>golf (Cody, Rosa, Kevin); dining (Cody, Olivia); watch sports (Cody, Rosa, Kevin); hiking (Cody, Rosa); craft beer (Rosa, Kevin, Olivia); running (Kevin, Olivia)</t>
        </is>
      </c>
      <c r="K61" s="11" t="inlineStr">
        <is>
          <t>OK</t>
        </is>
      </c>
      <c r="L61" s="12" t="inlineStr">
        <is>
          <t>Olivia is here for a side interest, not watch sports.</t>
        </is>
      </c>
      <c r="M61" s="14" t="inlineStr">
        <is>
          <t>Rules (no AI call)</t>
        </is>
      </c>
      <c r="N61" s="15" t="n"/>
      <c r="O61" s="16" t="n"/>
      <c r="P61" s="17" t="inlineStr">
        <is>
          <t>Headline: Your Kraken hockey night crew is set for Black Diamond Grill!
Cody: Cody, your small group is confirmed for Kraken hockey night at Black Diamond Grill, Saturday 31 Oct, 7-9:30pm. You'll be with Rosa, Kevin, and Olivia — you and Rosa and Kevin are all watch-sports fans, so expect plenty of game talk, and you and Olivia both love dining out.
Rosa: Rosa, your small group is confirmed for Kraken hockey night at Black Diamond Grill, Saturday 31 Oct, 7-9:30pm. You'll be with Cody, Kevin, and Olivia — you, Cody, and Kevin are all watch-sports fans so the game should spark good conversation, and you and Kevin share a love of craft beer too.
Kevin: Kevin, your small group is confirmed for Kraken hockey night at Black Diamond Grill, Saturday 31 Oct, 7-9:30pm. You'll be with Cody, Rosa, and Olivia — you, Cody, and Rosa are all into watching sports, and you and Olivia both love running, so there's plenty to chat about beyond the game.
Olivia: Olivia, your small group is confirmed for Kraken hockey night at Black Diamond Grill, Saturday 31 Oct, 7-9:30pm. You'll be with Cody, Rosa, and Kevin — you and Cody both love dining out, and you and Kevin share a love of running, so you'll have easy common ground at the table.</t>
        </is>
      </c>
      <c r="Q61" s="14" t="inlineStr">
        <is>
          <t>T2 2026-10-31/g3</t>
        </is>
      </c>
      <c r="R61" s="14" t="inlineStr">
        <is>
          <t>proposed #218, plan #204, locked #440, messages #452</t>
        </is>
      </c>
    </row>
    <row r="62" ht="199" customHeight="1">
      <c r="A62" s="11" t="n">
        <v>61</v>
      </c>
      <c r="B62" s="11" t="inlineStr">
        <is>
          <t>T2
after fixes</t>
        </is>
      </c>
      <c r="C62" s="12" t="inlineStr">
        <is>
          <t>Sat 31 Oct
evening, 7pm-10pm</t>
        </is>
      </c>
      <c r="D62" s="13" t="inlineStr">
        <is>
          <t>Live music in the beer garden
The Vault Taphouse &amp; Beer Garden
low cost, 4 people</t>
        </is>
      </c>
      <c r="E62" s="12" t="inlineStr">
        <is>
          <t>Hannah, 26, commuter: loves craft beer, likes live music
Steve, 37, shift worker: likes craft beer, loves live music
Linda, 33, commuter: likes craft beer, loves live music
Susan, 47, commuter: likes live music, likes craft beer</t>
        </is>
      </c>
      <c r="F62" s="12" t="inlineStr">
        <is>
          <t>Four live-music and craft-beer fans sharing a table in the beer garden.</t>
        </is>
      </c>
      <c r="G62" s="12" t="inlineStr">
        <is>
          <t>Asked 4 times: 4 yes, 0 no, 0 counter.
Locked by code with 4 yes (needs 2+).</t>
        </is>
      </c>
      <c r="H62" s="12" t="inlineStr">
        <is>
          <t>Hannah (round 1): YES
  This is a great fit—Hannah's free Saturday evening and loves both live music and craft beer, so The Vault Taphouse works perfectly.
Steve (round 1): YES
  Saturday evening works great for Steve - live music and craft beer with a small, low-key group is right up his alley. Count him in!
Linda (round 1): YES
  This is a great fit — Saturday evening is free, live music and craft beer are right up Linda's alley, and it's low-cost with a small neighborly group. She's in!
Susan (round 1): YES
  Saturday evening is free and this is right up Susan's alley—live music and craft beer, low cost, small relaxed group. She's in!</t>
        </is>
      </c>
      <c r="I62" s="12" t="inlineStr">
        <is>
          <t>None: every rule held.</t>
        </is>
      </c>
      <c r="J62" s="12" t="inlineStr">
        <is>
          <t>craft beer (Hannah, Steve, Linda, Susan); live music (Hannah, Steve, Linda, Susan)</t>
        </is>
      </c>
      <c r="K62" s="11" t="inlineStr">
        <is>
          <t>Good</t>
        </is>
      </c>
      <c r="L62" s="12" t="inlineStr">
        <is>
          <t>Everyone is into live music (2 of 4 love it). No clashes.</t>
        </is>
      </c>
      <c r="M62" s="14" t="inlineStr">
        <is>
          <t>Rules (no AI call)</t>
        </is>
      </c>
      <c r="N62" s="15" t="n"/>
      <c r="O62" s="16" t="n"/>
      <c r="P62" s="17" t="inlineStr">
        <is>
          <t>Headline: Live Music &amp; Craft Beer in the Beer Garden — Saturday 31 Oct, 7-10pm at The Vault Taphouse
Hannah: Hannah, your small group is set for live music in the beer garden at The Vault Taphouse, Saturday 31 Oct from 7-10pm. You'll be with Steve, Linda, and Susan — you all love craft beer and live music, so this one's an easy fit.
Steve: Steve, you're confirmed for live music in the beer garden at The Vault Taphouse, Saturday 31 Oct, 7-10pm. Joining you are Hannah, Linda, and Susan, all fellow craft beer and live music lovers, so the night's sound to be your kind of scene.
Linda: Linda, your group is locked in for live music in the beer garden at The Vault Taphouse on Saturday 31 Oct, 7-10pm. You'll meet Hannah, Steve, and Susan, who share your love of craft beer and live music, so conversation should flow easily.
Susan: Susan, you're all set for live music in the beer garden at The Vault Taphouse, Saturday 31 Oct from 7-10pm. You'll be alongside Hannah, Steve, and Linda, all craft beer and live music fans like you, making for a good night out.</t>
        </is>
      </c>
      <c r="Q62" s="14" t="inlineStr">
        <is>
          <t>T2 2026-10-31/g4</t>
        </is>
      </c>
      <c r="R62" s="14" t="inlineStr">
        <is>
          <t>proposed #219, plan #204, locked #441, messages #454</t>
        </is>
      </c>
    </row>
    <row r="63" ht="214" customHeight="1">
      <c r="A63" s="11" t="n">
        <v>62</v>
      </c>
      <c r="B63" s="11" t="inlineStr">
        <is>
          <t>T2
after fixes</t>
        </is>
      </c>
      <c r="C63" s="12" t="inlineStr">
        <is>
          <t>Sat 31 Oct
evening, 5:30pm-7pm</t>
        </is>
      </c>
      <c r="D63" s="13" t="inlineStr">
        <is>
          <t>Evening walk on the Ten Trails paths
Ten Trails trail network
free, 4 people</t>
        </is>
      </c>
      <c r="E63" s="12" t="inlineStr">
        <is>
          <t>Isabel, 23, commuter: loves running, likes hiking, loves dog walks
Nora, 60, commuter: likes running, is up for hiking, loves dog walks
Claire, 24, student: loves dog walks
Nora, 29, shift worker: loves dog walks</t>
        </is>
      </c>
      <c r="F63" s="12" t="inlineStr">
        <is>
          <t>Dog lovers walking their dogs together on the Ten Trails paths at an easy, uncompetitive pace.</t>
        </is>
      </c>
      <c r="G63" s="12" t="inlineStr">
        <is>
          <t>Asked 4 times: 4 yes, 0 no, 0 counter.
Locked by code with 4 yes (needs 2+).</t>
        </is>
      </c>
      <c r="H63" s="12" t="inlineStr">
        <is>
          <t>Isabel (round 1): YES
  Saturday evening works great for Isabel — free time, free cost, and dog walks are one of her favorites. A small, low-key group of neighbors sounds perfect, not a crowd. Count her in!
Nora (round 1): YES
  Saturday evening works great for Nora—free dog walk with neighbors on Ten Trails fits her love of dog walks perfectly and it's within her free evening window. Let's book it!
Claire (round 1): YES
  Saturday evening works great for Claire — she's free then and loves dog walks, plus it's free. Count her in!
Nora (round 1): YES
  Saturday evening works great for Nora's calendar, and a dog walk with neighbors is right up her alley. Count her in!</t>
        </is>
      </c>
      <c r="I63" s="12" t="inlineStr">
        <is>
          <t>None: every rule held.</t>
        </is>
      </c>
      <c r="J63" s="12" t="inlineStr">
        <is>
          <t>running (Isabel, Nora); hiking (Isabel, Nora); craft beer (Isabel, Nora); dog walks (Isabel, Nora, Claire, Nora)</t>
        </is>
      </c>
      <c r="K63" s="11" t="inlineStr">
        <is>
          <t>Good</t>
        </is>
      </c>
      <c r="L63" s="12" t="inlineStr">
        <is>
          <t>Everyone is into dog walks (4 of 4 love it). No clashes.</t>
        </is>
      </c>
      <c r="M63" s="14" t="inlineStr">
        <is>
          <t>Rules (no AI call)</t>
        </is>
      </c>
      <c r="N63" s="15" t="n"/>
      <c r="O63" s="16" t="n"/>
      <c r="P63" s="17" t="inlineStr">
        <is>
          <t>Headline: Four Black Diamond dog-walkers hit the Ten Trails paths together
Isabel: Isabel, you're set for the Ten Trails evening walk this Saturday, Oct 31 from 5:30-7pm, alongside Nora B., Claire, and Nora P. You and Nora B. both love dog walks, hiking, and craft beer, so you two should hit it off right away on the trail.
Nora: Nora B., your small group for the Ten Trails evening walk is confirmed for Saturday, Oct 31, 5:30-7pm, with Isabel, Claire, and Nora P. joining you. Keep an eye out for Isabel especially — you two share a love of dog walks, hiking, and craft beer.
Claire: Claire, you're walking the Ten Trails network this Saturday, Oct 31 from 5:30-7pm with Isabel, Nora B., and Nora P. You and Isabel and Nora B. all love dog walks, so expect plenty of trail-dog talk along the way.
Nora: Nora P., you're joining Isabel, Nora B., and Claire for the Ten Trails evening walk this Saturday, Oct 31, 5:30-7pm. You're the group's resident dog-walk lover too, so you'll fit right in as everyone talks trails and pups together.</t>
        </is>
      </c>
      <c r="Q63" s="14" t="inlineStr">
        <is>
          <t>T2 2026-10-31/g5</t>
        </is>
      </c>
      <c r="R63" s="14" t="inlineStr">
        <is>
          <t>proposed #220, plan #204, locked #442, messages #456</t>
        </is>
      </c>
    </row>
    <row r="64" ht="229" customHeight="1">
      <c r="A64" s="11" t="n">
        <v>63</v>
      </c>
      <c r="B64" s="11" t="inlineStr">
        <is>
          <t>T2
after fixes</t>
        </is>
      </c>
      <c r="C64" s="12" t="inlineStr">
        <is>
          <t>Sat 31 Oct
morning, 9am-12pm</t>
        </is>
      </c>
      <c r="D64" s="13" t="inlineStr">
        <is>
          <t>Trail cleanup work party
Green River Gorge Conservation Area
free, 4 people</t>
        </is>
      </c>
      <c r="E64" s="12" t="inlineStr">
        <is>
          <t>Tyler, 32, commuter: is up for hiking, loves volunteering
Andres, 64, commuter: likes hiking, is up for volunteering
Ananya, 19, student: loves volunteering
Tom, 73, retiree: loves volunteering</t>
        </is>
      </c>
      <c r="F64" s="12" t="inlineStr">
        <is>
          <t>Committed volunteers giving back on the Gorge trails together.</t>
        </is>
      </c>
      <c r="G64" s="12" t="inlineStr">
        <is>
          <t>Asked 4 times: 4 yes, 0 no, 0 counter.
Locked by code with 4 yes (needs 2+).</t>
        </is>
      </c>
      <c r="H64" s="12" t="inlineStr">
        <is>
          <t>Tyler (round 1): YES
  Saturday morning works great for Tyler—he loves volunteering, and a free trail cleanup with neighbors fits his calendar perfectly. Count him in!
Andres (round 1): YES
  Saturday morning works great for Andres — he's free then, and a trail cleanup combining hiking and volunteering is right up his alley. Count him in.
Ananya (round 1): YES
  This fits perfectly—Ananya's free Saturday morning, loves volunteering, and a small non-competitive group of 4 is well within their comfort zone. Count her in for the trail cleanup!
Tom (round 1): YES
  Tom's free Saturday morning and loves volunteering, so a trail cleanup with neighbors sounds great to him. Please confirm the spot.</t>
        </is>
      </c>
      <c r="I64" s="12" t="inlineStr">
        <is>
          <t>None: every rule held.</t>
        </is>
      </c>
      <c r="J64" s="12" t="inlineStr">
        <is>
          <t>hiking (Tyler, Andres); dining (Tyler, Andres); volunteering (Tyler, Andres, Ananya, Tom)</t>
        </is>
      </c>
      <c r="K64" s="11" t="inlineStr">
        <is>
          <t>OK</t>
        </is>
      </c>
      <c r="L64" s="12" t="inlineStr">
        <is>
          <t>Ages 19 to 73.</t>
        </is>
      </c>
      <c r="M64" s="14" t="inlineStr">
        <is>
          <t>Rules (no AI call)</t>
        </is>
      </c>
      <c r="N64" s="15" t="n"/>
      <c r="O64" s="16" t="n"/>
      <c r="P64" s="17" t="inlineStr">
        <is>
          <t>Headline: Your Green River Gorge trail cleanup crew is set for Saturday!
Tyler: Tyler, you're in for the trail cleanup work party at Green River Gorge Conservation Area, Saturday 10/31 from 9am-12pm, alongside Andres, Ananya, and Tom. You and Andres both love hiking and dining, so you two will have plenty to talk about between gloves-on stretches, and everyone in this group shares your love of volunteering.
Andres: Andres, you're confirmed for the trail cleanup work party at Green River Gorge Conservation Area, Saturday 10/31, 9am-12pm, with Tyler, Ananya, and Tom. You and Tyler are both into hiking and dining, so expect some good trail talk, and the whole crew shares your enthusiasm for volunteering.
Ananya: Ananya, you're set for the trail cleanup work party at Green River Gorge Conservation Area on Saturday 10/31 from 9am-12pm, joining Tyler, Andres, and Tom. Everyone here, including you, loves volunteering, so it's a crew that showed up for the same reason.
Tom: Tom, you're confirmed for the trail cleanup work party at Green River Gorge Conservation Area, Saturday 10/31, 9am-12pm, with Tyler, Andres, and Ananya. You'll fit right in since volunteering is something all four of you love, making it an easy group to dig into the work with.</t>
        </is>
      </c>
      <c r="Q64" s="14" t="inlineStr">
        <is>
          <t>T2 2026-10-31/g6</t>
        </is>
      </c>
      <c r="R64" s="14" t="inlineStr">
        <is>
          <t>proposed #221, plan #204, locked #443, messages #458</t>
        </is>
      </c>
    </row>
    <row r="65" ht="199" customHeight="1">
      <c r="A65" s="11" t="n">
        <v>64</v>
      </c>
      <c r="B65" s="11" t="inlineStr">
        <is>
          <t>T2
after fixes</t>
        </is>
      </c>
      <c r="C65" s="12" t="inlineStr">
        <is>
          <t>Sat 31 Oct
morning, 8:30am-9:30am</t>
        </is>
      </c>
      <c r="D65" s="13" t="inlineStr">
        <is>
          <t>Easy 5K together
Ten Trails trail network
free, 4 people</t>
        </is>
      </c>
      <c r="E65" s="12" t="inlineStr">
        <is>
          <t>Matt, 46, commuter: loves running
Ava, 42, commuter: loves running
Noah, 43, remote worker: loves running
Olivia, 29, remote worker: loves running</t>
        </is>
      </c>
      <c r="F65" s="12" t="inlineStr">
        <is>
          <t>Keen runners at a similar stage of life doing a friendly, conversational 5K.</t>
        </is>
      </c>
      <c r="G65" s="12" t="inlineStr">
        <is>
          <t>Asked 4 times: 4 yes, 0 no, 0 counter.
Locked by code with 4 yes (needs 2+).</t>
        </is>
      </c>
      <c r="H65" s="12" t="inlineStr">
        <is>
          <t>Matt (round 1): YES
  This works great—Matt's free Saturday morning, loves running, and it's free. Count him in for the 8:30am 5K.
Ava (round 1): YES
  Saturday 8:30-9:30am works great for Ava — she loves running, it's free, and it fits her free morning. Count her in!
Noah (round 1): YES
  Saturday 8:30-9:30am works great for Noah — running is one of his loves, it's free, fits his morning availability, and a quiet small-group pace sounds perfect. Count him in!
Olivia (round 1): YES
  Olivia's free Saturday morning and loves running, so an easy 5K group run at Ten Trails at 8:30am works great for her. Count her in!</t>
        </is>
      </c>
      <c r="I65" s="12" t="inlineStr">
        <is>
          <t>None: every rule held.</t>
        </is>
      </c>
      <c r="J65" s="12" t="inlineStr">
        <is>
          <t>craft beer (Matt, Noah); pickleball (Matt, Ava); running (Matt, Ava, Noah, Olivia); live music (Matt, Ava); gardening (Ava, Noah)</t>
        </is>
      </c>
      <c r="K65" s="11" t="inlineStr">
        <is>
          <t>Good</t>
        </is>
      </c>
      <c r="L65" s="12" t="inlineStr">
        <is>
          <t>Everyone is into running (4 of 4 love it). No clashes.</t>
        </is>
      </c>
      <c r="M65" s="14" t="inlineStr">
        <is>
          <t>Rules (no AI call)</t>
        </is>
      </c>
      <c r="N65" s="15" t="n"/>
      <c r="O65" s="16" t="n"/>
      <c r="P65" s="17" t="inlineStr">
        <is>
          <t>Headline: Your Ten Trails 5K crew is set for Saturday 10/31
Matt: Matt, you're in for the easy 5K at Ten Trails this Saturday, 10/31, 8:30-9:30am, running alongside Ava, Noah, and Olivia. You and Noah both swear by a good craft beer afterward, and you and Ava have pickleball in common too, so there should be plenty to talk about between strides.
Ava: Ava, your group run at Ten Trails is confirmed for Saturday 10/31, 8:30-9:30am, with Matt, Noah, and Olivia joining you. You and Matt both love live music and pickleball, and you and Noah share a soft spot for gardening, so this crew should click right away.
Noah: Noah, you're set for the easy 5K at Ten Trails this Saturday, 10/31, 8:30-9:30am, with Matt, Ava, and Olivia. You and Matt both enjoy craft beer, and you and Ava share a love of gardening, making for an easy, low-key run as a remote worker like yourself.
Olivia: Olivia, your Ten Trails 5K is confirmed for Saturday 10/31, 8:30-9:30am, running with Matt, Ava, and Noah. Running is the one thing you all have in common, so you'll fit right in with this group from the first step.</t>
        </is>
      </c>
      <c r="Q65" s="14" t="inlineStr">
        <is>
          <t>T2 2026-10-31/g7</t>
        </is>
      </c>
      <c r="R65" s="14" t="inlineStr">
        <is>
          <t>proposed #222, plan #204, locked #444, messages #460</t>
        </is>
      </c>
    </row>
    <row r="66" ht="229" customHeight="1">
      <c r="A66" s="11" t="n">
        <v>65</v>
      </c>
      <c r="B66" s="11" t="inlineStr">
        <is>
          <t>T2
after fixes</t>
        </is>
      </c>
      <c r="C66" s="12" t="inlineStr">
        <is>
          <t>Sat 31 Oct
morning, 10:30am-11:30am</t>
        </is>
      </c>
      <c r="D66" s="13" t="inlineStr">
        <is>
          <t>Coffee and pastries at the Black Diamond Bakery
Black Diamond Bakery
low cost, 4 people</t>
        </is>
      </c>
      <c r="E66" s="12" t="inlineStr">
        <is>
          <t>Katie, 50, remote worker: loves baking, likes coffee
Chris, 36, parent at home: is up for coffee, loves baking
Yuki, 62, remote worker: loves coffee
Hannah, 84, remote worker: loves coffee</t>
        </is>
      </c>
      <c r="F66" s="12" t="inlineStr">
        <is>
          <t>Coffee and baking lovers sharing pastries at a relaxed late-morning hour.</t>
        </is>
      </c>
      <c r="G66" s="12" t="inlineStr">
        <is>
          <t>Asked 4 times: 4 yes, 0 no, 0 counter.
Locked by code with 4 yes (needs 2+).</t>
        </is>
      </c>
      <c r="H66" s="12" t="inlineStr">
        <is>
          <t>Katie (round 1): YES
  This is a great fit—Katie loves baking and really likes coffee, it's a small relaxed neighbor group, Saturday morning is free, and it's low cost. Count her in!
Chris (round 1): YES
  This works well — Saturday morning is free, 10:30 isn't too early, and coffee plus baking vibes are right up Chris's alley. Let's lock it in.
Yuki (round 1): YES
  Saturday morning works great for Yuki's free time, and coffee with neighbors is right up their alley. Count Yuki in!
Hannah (round 1): YES
  Saturday morning works great for Hannah — she loves coffee, so coffee and pastries with neighbors at Black Diamond Bakery, 10:30-11:30am, is a yes.</t>
        </is>
      </c>
      <c r="I66" s="12" t="inlineStr">
        <is>
          <t>None: every rule held.</t>
        </is>
      </c>
      <c r="J66" s="12" t="inlineStr">
        <is>
          <t>baking (Katie, Chris); book club (Katie, Chris); coffee (Katie, Chris, Yuki, Hannah); running (Yuki, Hannah)</t>
        </is>
      </c>
      <c r="K66" s="11" t="inlineStr">
        <is>
          <t>OK</t>
        </is>
      </c>
      <c r="L66" s="12" t="inlineStr">
        <is>
          <t>Ages 36 to 84.</t>
        </is>
      </c>
      <c r="M66" s="14" t="inlineStr">
        <is>
          <t>Rules (no AI call)</t>
        </is>
      </c>
      <c r="N66" s="15" t="n"/>
      <c r="O66" s="16" t="n"/>
      <c r="P66" s="17" t="inlineStr">
        <is>
          <t>Headline: Coffee and pastries at Black Diamond Bakery is a go for four!
Katie: Hi Katie, your coffee meetup is set for Saturday 31 Oct, 10:30-11:30am at Black Diamond Bakery, with Chris, Yuki, and Hannah. You and Chris both love baking and book club, so there's plenty to dig into over pastries.
Chris: Hi Chris, you're confirmed for coffee and pastries this Saturday 31 Oct, 10:30-11:30am at Black Diamond Bakery, joining Katie, Yuki, and Hannah. You and Katie share a love of baking and book club, so expect some good swapping of recommendations.
Yuki: Hi Yuki, your coffee date is locked in for Saturday 31 Oct, 10:30-11:30am at Black Diamond Bakery, alongside Katie, Chris, and Hannah. You and Hannah both love running, so that's an easy one to bond over between sips of coffee.
Hannah: Hi Hannah, you're set for coffee and pastries this Saturday 31 Oct, 10:30-11:30am at Black Diamond Bakery, with Katie, Chris, and Yuki. You and Yuki both love running, so you'll have plenty to chat about along with your coffee.</t>
        </is>
      </c>
      <c r="Q66" s="14" t="inlineStr">
        <is>
          <t>T2 2026-10-31/g8</t>
        </is>
      </c>
      <c r="R66" s="14" t="inlineStr">
        <is>
          <t>proposed #223, plan #204, locked #445, messages #462</t>
        </is>
      </c>
    </row>
    <row r="67" ht="199" customHeight="1">
      <c r="A67" s="11" t="n">
        <v>66</v>
      </c>
      <c r="B67" s="11" t="inlineStr">
        <is>
          <t>T2
after fixes</t>
        </is>
      </c>
      <c r="C67" s="12" t="inlineStr">
        <is>
          <t>Sat 31 Oct
morning, 9am-10:30am</t>
        </is>
      </c>
      <c r="D67" s="13" t="inlineStr">
        <is>
          <t>Pickleball doubles
public courts in Maple Valley
free, 4 people</t>
        </is>
      </c>
      <c r="E67" s="12" t="inlineStr">
        <is>
          <t>Olivia, 36, commuter: loves pickleball
Hana, 53, commuter: loves pickleball
Quinn, 49, commuter: loves pickleball
Seo-yeon, 49, commuter: loves pickleball</t>
        </is>
      </c>
      <c r="F67" s="12" t="inlineStr">
        <is>
          <t>Four keen pickleball players in their 30s to 50s making up a perfect doubles foursome.</t>
        </is>
      </c>
      <c r="G67" s="12" t="inlineStr">
        <is>
          <t>Asked 4 times: 4 yes, 0 no, 0 counter.
Locked by code with 4 yes (needs 2+).</t>
        </is>
      </c>
      <c r="H67" s="12" t="inlineStr">
        <is>
          <t>Olivia (round 1): YES
  Saturday 9-10:30am pickleball works great for Olivia — she's free that morning, loves pickleball, and free is right in budget. Count her in!
Hana (round 1): YES
  Saturday morning works great—Hana's free then and loves pickleball. Free outdoor courts with neighbors sounds perfect, let's lock it in.
Quinn (round 1): YES
  Saturday 9-10:30am works great—Quinn loves pickleball, it's free, and that morning slot is open. Count them in!
Seo-yeon (round 1): YES
  This works great—Seo-yeon loves pickleball, Saturday morning is free, and free public courts fit the budget perfectly. Count them in!</t>
        </is>
      </c>
      <c r="I67" s="12" t="inlineStr">
        <is>
          <t>None: every rule held.</t>
        </is>
      </c>
      <c r="J67" s="12" t="inlineStr">
        <is>
          <t>pickleball (Olivia, Hana, Quinn, Seo-yeon); live music (Olivia, Hana); running (Quinn, Seo-yeon); watch sports (Quinn, Seo-yeon)</t>
        </is>
      </c>
      <c r="K67" s="11" t="inlineStr">
        <is>
          <t>Good</t>
        </is>
      </c>
      <c r="L67" s="12" t="inlineStr">
        <is>
          <t>Everyone is into pickleball (4 of 4 love it). No clashes.</t>
        </is>
      </c>
      <c r="M67" s="14" t="inlineStr">
        <is>
          <t>Rules (no AI call)</t>
        </is>
      </c>
      <c r="N67" s="15" t="n"/>
      <c r="O67" s="16" t="n"/>
      <c r="P67" s="17" t="inlineStr">
        <is>
          <t>Headline: Four pickleball lovers, one court, Saturday morning in Maple Valley
Olivia: Hi Olivia! Your small group is set for pickleball doubles at the public courts in Maple Valley, Saturday 31 Oct, 9-10:30am, with Hana, Quinn, and Seo-yeon. You and Hana both love live music and are juggling kids at home, so you two should hit it off right away.
Hana: Hi Hana! You're confirmed for pickleball doubles in Maple Valley this Saturday 31 Oct, 9-10:30am, alongside Olivia, Quinn, and Seo-yeon. Olivia shares your love of live music and the kids-at-home hustle, so expect an easy connection on the court.
Quinn: Hi Quinn! Your pickleball doubles group is locked in for Saturday 31 Oct, 9-10:30am at the public courts in Maple Valley, with Olivia, Hana, and Seo-yeon. You and Seo-yeon both love running and watching sports, plus you're both 49, so you'll have plenty to talk about between games.
Seo-yeon: Hi Seo-yeon! You're set for pickleball doubles in Maple Valley this Saturday 31 Oct, 9-10:30am, joining Olivia, Hana, and Quinn. Quinn shares your love of running and watching sports, and you're both 49, so that's a natural match on and off the court.</t>
        </is>
      </c>
      <c r="Q67" s="14" t="inlineStr">
        <is>
          <t>T2 2026-10-31/g9</t>
        </is>
      </c>
      <c r="R67" s="14" t="inlineStr">
        <is>
          <t>proposed #224, plan #204, locked #446, messages #464</t>
        </is>
      </c>
    </row>
    <row r="68" ht="244" customHeight="1">
      <c r="A68" s="11" t="n">
        <v>67</v>
      </c>
      <c r="B68" s="11" t="inlineStr">
        <is>
          <t>T2
after fixes</t>
        </is>
      </c>
      <c r="C68" s="12" t="inlineStr">
        <is>
          <t>Sat 31 Oct
afternoon, 1pm-3:30pm</t>
        </is>
      </c>
      <c r="D68" s="13" t="inlineStr">
        <is>
          <t>Paddle Lake Sawyer
Lake Sawyer Regional Park boat launch
low cost, 4 people</t>
        </is>
      </c>
      <c r="E68" s="12" t="inlineStr">
        <is>
          <t>Claire, 58, remote worker: loves kayaking
Lauren, 28, remote worker: loves kayaking
Hannah, 44, remote worker: likes kayaking
Donna, 61, remote worker: likes kayaking, is up for boating</t>
        </is>
      </c>
      <c r="F68" s="12" t="inlineStr">
        <is>
          <t>Kayak fans paddling Lake Sawyer together, several of whom also share a love of craft beer and books.</t>
        </is>
      </c>
      <c r="G68" s="12" t="inlineStr">
        <is>
          <t>Asked 4 times: 4 yes, 0 no, 0 counter.
Locked by code with 4 yes (needs 2+).</t>
        </is>
      </c>
      <c r="H68" s="12" t="inlineStr">
        <is>
          <t>Claire (round 1): YES
  Saturday afternoon works great for Claire — kayaking on Lake Sawyer with a small neighbor group sounds perfect, and the quiet setting fits her preference to avoid loud places. Count her in!
Lauren (round 1): YES
  This is a great fit—kayaking is one of Lauren's favorite activities, Saturday afternoon is open, and the low cost works with her budget. She'd love to join the paddle group!
Hannah (round 1): YES
  Saturday afternoon works great for Hannah — kayaking is one of her favorite activities, and Lake Sawyer with a small group of neighbors sounds perfect. Count her in!
Donna (round 1): YES
  Saturday 1-3:30pm works great for Donna—kayaking is one of her favorites, the time fits her free afternoon, it's low cost, and a small group of neighbors keeps it away from crowds. She's in!</t>
        </is>
      </c>
      <c r="I68" s="12" t="inlineStr">
        <is>
          <t>None: every rule held.</t>
        </is>
      </c>
      <c r="J68" s="12" t="inlineStr">
        <is>
          <t>hiking (Claire, Hannah); craft beer (Claire, Lauren, Donna); kayaking (Claire, Lauren, Hannah, Donna); dog walks (Claire, Donna); running (Lauren, Hannah, Donna); book club (Lauren, Hannah)</t>
        </is>
      </c>
      <c r="K68" s="11" t="inlineStr">
        <is>
          <t>Good</t>
        </is>
      </c>
      <c r="L68" s="12" t="inlineStr">
        <is>
          <t>Everyone is into kayaking (2 of 4 love it). No clashes.</t>
        </is>
      </c>
      <c r="M68" s="14" t="inlineStr">
        <is>
          <t>Rules (no AI call)</t>
        </is>
      </c>
      <c r="N68" s="15" t="n"/>
      <c r="O68" s="16" t="n"/>
      <c r="P68" s="17" t="inlineStr">
        <is>
          <t>Headline: Four paddlers, one lake: your Lake Sawyer crew is set for Saturday
Claire: Claire, you're set for Paddle Lake Sawyer at the Lake Sawyer Regional Park boat launch, Saturday 31 Oct from 1-3:30pm, alongside Lauren, Hannah, and Donna. You and Hannah both love hiking, so between paddle strokes you'll have plenty to talk about on that front too.
Lauren: Lauren, you're confirmed for Paddle Lake Sawyer at the Lake Sawyer Regional Park boat launch, Saturday 31 Oct, 1-3:30pm, with Claire, Hannah, and Donna. You and Hannah are both into book club, so you two will have more than kayaking to chat about on the water.
Hannah: Hannah, your group for Paddle Lake Sawyer is confirmed: Saturday 31 Oct, 1-3:30pm at the Lake Sawyer Regional Park boat launch, with Claire, Lauren, and Donna. You and Claire both love hiking, which should make for easy conversation between paddles.
Donna: Donna, you're in for Paddle Lake Sawyer at the Lake Sawyer Regional Park boat launch, Saturday 31 Oct, 1-3:30pm, joining Claire, Lauren, and Hannah. You and Claire both enjoy dog walks, so that's a nice shared topic to kick things off before you all get out on the lake.</t>
        </is>
      </c>
      <c r="Q68" s="14" t="inlineStr">
        <is>
          <t>T2 2026-10-31/g10</t>
        </is>
      </c>
      <c r="R68" s="14" t="inlineStr">
        <is>
          <t>proposed #225, plan #204, locked #447, messages #466</t>
        </is>
      </c>
    </row>
  </sheetData>
  <autoFilter ref="A1:R68"/>
  <conditionalFormatting sqref="K2:K68">
    <cfRule type="expression" priority="1" dxfId="0">
      <formula>$K2="Weak"</formula>
    </cfRule>
    <cfRule type="expression" priority="2" dxfId="0">
      <formula>$K2="Bad"</formula>
    </cfRule>
    <cfRule type="expression" priority="3" dxfId="1">
      <formula>$K2="OK"</formula>
    </cfRule>
    <cfRule type="expression" priority="4" dxfId="2">
      <formula>$K2="Good"</formula>
    </cfRule>
  </conditionalFormatting>
  <conditionalFormatting sqref="N2:N68">
    <cfRule type="expression" priority="5" dxfId="0">
      <formula>$N2="Weak"</formula>
    </cfRule>
    <cfRule type="expression" priority="6" dxfId="0">
      <formula>$N2="Bad"</formula>
    </cfRule>
    <cfRule type="expression" priority="7" dxfId="1">
      <formula>$N2="OK"</formula>
    </cfRule>
    <cfRule type="expression" priority="8" dxfId="2">
      <formula>$N2="Good"</formula>
    </cfRule>
  </conditionalFormatting>
  <dataValidations count="1">
    <dataValidation sqref="N2:N68" showDropDown="0" showInputMessage="0" showErrorMessage="0" allowBlank="1" type="list">
      <formula1>"Good,OK,Bad,Unsure"</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N297"/>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24" customWidth="1" min="3" max="3"/>
    <col width="20" customWidth="1" min="4" max="4"/>
    <col width="7" customWidth="1" min="5" max="5"/>
    <col width="14" customWidth="1" min="6" max="6"/>
    <col width="60" customWidth="1" min="7" max="7"/>
    <col width="40" customWidth="1" min="8" max="8"/>
    <col width="9" customWidth="1" min="9" max="9"/>
    <col width="26" customWidth="1" min="10" max="10"/>
    <col width="56" customWidth="1" min="11" max="11"/>
    <col width="8" customWidth="1" min="12" max="12"/>
    <col width="28" customWidth="1" min="13" max="13"/>
    <col width="26" customWidth="1" min="14" max="14"/>
  </cols>
  <sheetData>
    <row r="1" ht="32" customHeight="1">
      <c r="A1" s="10" t="inlineStr">
        <is>
          <t>Match ID</t>
        </is>
      </c>
      <c r="B1" s="10" t="inlineStr">
        <is>
          <t>Run</t>
        </is>
      </c>
      <c r="C1" s="10" t="inlineStr">
        <is>
          <t>Activity</t>
        </is>
      </c>
      <c r="D1" s="10" t="inlineStr">
        <is>
          <t>Person</t>
        </is>
      </c>
      <c r="E1" s="10" t="inlineStr">
        <is>
          <t>Round</t>
        </is>
      </c>
      <c r="F1" s="10" t="inlineStr">
        <is>
          <t>Time asked</t>
        </is>
      </c>
      <c r="G1" s="10" t="inlineStr">
        <is>
          <t>What the matchmaker said (verbatim)</t>
        </is>
      </c>
      <c r="H1" s="10" t="inlineStr">
        <is>
          <t>What code told the agent</t>
        </is>
      </c>
      <c r="I1" s="10" t="inlineStr">
        <is>
          <t>Answer</t>
        </is>
      </c>
      <c r="J1" s="10" t="inlineStr">
        <is>
          <t>Asked for</t>
        </is>
      </c>
      <c r="K1" s="10" t="inlineStr">
        <is>
          <t>The agent's reason (verbatim)</t>
        </is>
      </c>
      <c r="L1" s="10" t="inlineStr">
        <is>
          <t>Placed?</t>
        </is>
      </c>
      <c r="M1" s="10" t="inlineStr">
        <is>
          <t>Your note</t>
        </is>
      </c>
      <c r="N1" s="10" t="inlineStr">
        <is>
          <t>Events</t>
        </is>
      </c>
    </row>
    <row r="2" ht="68" customHeight="1">
      <c r="A2" s="23" t="inlineStr">
        <is>
          <t>S 2026-10-31/g1</t>
        </is>
      </c>
      <c r="B2" s="23" t="inlineStr">
        <is>
          <t>S</t>
        </is>
      </c>
      <c r="C2" s="23" t="inlineStr">
        <is>
          <t>Green River Gorge hike</t>
        </is>
      </c>
      <c r="D2" s="23" t="inlineStr">
        <is>
          <t>e124 Wei T.</t>
        </is>
      </c>
      <c r="E2" s="24" t="n">
        <v>1</v>
      </c>
      <c r="F2" s="23" t="inlineStr">
        <is>
          <t>9am-12pm</t>
        </is>
      </c>
      <c r="G2" s="23" t="inlineStr">
        <is>
          <t>Hi! How about a Green River Gorge hike this Saturday (31 Oct), 9am-12pm, at the Green River Gorge Conservation Area? It's free. You'd be walking with one other neighbor who's a keen hiker and also into photography, so bring your camera. The gorge in late fall is gorgeous, and you'd be done by lunch. Interested?</t>
        </is>
      </c>
      <c r="H2" s="23" t="inlineStr">
        <is>
          <t>nothing in the profile conflicts with it</t>
        </is>
      </c>
      <c r="I2" s="24" t="inlineStr">
        <is>
          <t>YES</t>
        </is>
      </c>
      <c r="J2" s="23" t="inlineStr">
        <is>
          <t>-</t>
        </is>
      </c>
      <c r="K2" s="23" t="inlineStr">
        <is>
          <t>This sounds great - Saturday morning works perfectly, Wei loves hiking and photography, it's free, and a small group with a fellow photography enthusiast is just the right vibe. Count Wei in!</t>
        </is>
      </c>
      <c r="L2" s="24" t="inlineStr">
        <is>
          <t>Yes</t>
        </is>
      </c>
      <c r="M2" s="25" t="n"/>
      <c r="N2" s="26" t="inlineStr">
        <is>
          <t>#20 ask, #21 call, #38 reply</t>
        </is>
      </c>
    </row>
    <row r="3" ht="68" customHeight="1">
      <c r="A3" s="23" t="inlineStr">
        <is>
          <t>S 2026-10-31/g1</t>
        </is>
      </c>
      <c r="B3" s="23" t="inlineStr">
        <is>
          <t>S</t>
        </is>
      </c>
      <c r="C3" s="23" t="inlineStr">
        <is>
          <t>Green River Gorge hike</t>
        </is>
      </c>
      <c r="D3" s="23" t="inlineStr">
        <is>
          <t>e104 Susan L.</t>
        </is>
      </c>
      <c r="E3" s="24" t="n">
        <v>1</v>
      </c>
      <c r="F3" s="23" t="inlineStr">
        <is>
          <t>9am-12pm</t>
        </is>
      </c>
      <c r="G3" s="23" t="inlineStr">
        <is>
          <t>Hi! Would you like a Green River Gorge hike this Saturday (31 Oct), 9am-12pm, at the Green River Gorge Conservation Area? It's free. It would be you and one other neighbor who loves hiking and photography as much as you do. Expect a relaxed pace with plenty of stops for shots of the gorge in fall colors. Want in?</t>
        </is>
      </c>
      <c r="H3" s="23" t="inlineStr">
        <is>
          <t>nothing in the profile conflicts with it</t>
        </is>
      </c>
      <c r="I3" s="24" t="inlineStr">
        <is>
          <t>YES</t>
        </is>
      </c>
      <c r="J3" s="23" t="inlineStr">
        <is>
          <t>-</t>
        </is>
      </c>
      <c r="K3" s="23" t="inlineStr">
        <is>
          <t>Susan's free Saturday morning and loves hiking plus photography - this gorge hike with fall colors sounds perfect, and it's free. Count her in!</t>
        </is>
      </c>
      <c r="L3" s="24" t="inlineStr">
        <is>
          <t>Yes</t>
        </is>
      </c>
      <c r="M3" s="25" t="n"/>
      <c r="N3" s="26" t="inlineStr">
        <is>
          <t>#22 ask, #23 call, #28 reply</t>
        </is>
      </c>
    </row>
    <row r="4" ht="68" customHeight="1">
      <c r="A4" s="23" t="inlineStr">
        <is>
          <t>S 2026-10-31/g2</t>
        </is>
      </c>
      <c r="B4" s="23" t="inlineStr">
        <is>
          <t>S</t>
        </is>
      </c>
      <c r="C4" s="23" t="inlineStr">
        <is>
          <t>Franklin ghost town hike</t>
        </is>
      </c>
      <c r="D4" s="23" t="inlineStr">
        <is>
          <t>e020 Imani M.</t>
        </is>
      </c>
      <c r="E4" s="24" t="n">
        <v>1</v>
      </c>
      <c r="F4" s="23" t="inlineStr">
        <is>
          <t>1pm-4pm</t>
        </is>
      </c>
      <c r="G4" s="23" t="inlineStr">
        <is>
          <t>Hi! How about the Franklin ghost town hike this Saturday (31 Oct), 1pm-4pm? Meet at the Franklin ghost town trail off Green River Gorge Rd. It's free. You'd go with one other Morgan Creek neighbor who's a history lover and a keen hiker. You'd get a good walk and lots of old coal-mining history along the way, which is very Halloween-appropriate. Sound good?</t>
        </is>
      </c>
      <c r="H4" s="23" t="inlineStr">
        <is>
          <t>nothing in the profile conflicts with it</t>
        </is>
      </c>
      <c r="I4" s="24" t="inlineStr">
        <is>
          <t>YES</t>
        </is>
      </c>
      <c r="J4" s="23" t="inlineStr">
        <is>
          <t>-</t>
        </is>
      </c>
      <c r="K4" s="23" t="inlineStr">
        <is>
          <t>This is a great fit—Imani loves hiking and history, it's free, Saturday afternoon is open, and a small neighbor group sounds low-key and not loud. Count her in!</t>
        </is>
      </c>
      <c r="L4" s="24" t="inlineStr">
        <is>
          <t>Yes</t>
        </is>
      </c>
      <c r="M4" s="25" t="n"/>
      <c r="N4" s="26" t="inlineStr">
        <is>
          <t>#24 ask, #25 call, #33 reply</t>
        </is>
      </c>
    </row>
    <row r="5" ht="68" customHeight="1">
      <c r="A5" s="23" t="inlineStr">
        <is>
          <t>S 2026-10-31/g2</t>
        </is>
      </c>
      <c r="B5" s="23" t="inlineStr">
        <is>
          <t>S</t>
        </is>
      </c>
      <c r="C5" s="23" t="inlineStr">
        <is>
          <t>Franklin ghost town hike</t>
        </is>
      </c>
      <c r="D5" s="23" t="inlineStr">
        <is>
          <t>e143 Carlos T.</t>
        </is>
      </c>
      <c r="E5" s="24" t="n">
        <v>1</v>
      </c>
      <c r="F5" s="23" t="inlineStr">
        <is>
          <t>1pm-4pm</t>
        </is>
      </c>
      <c r="G5" s="23" t="inlineStr">
        <is>
          <t>Hi! Would you like to do the Franklin ghost town hike this Saturday (31 Oct), 1pm-4pm? Meet at the Franklin ghost town trail on Green River Gorge Rd. It's free. You'd be with one other neighbor from Morgan Creek who shares your love of history and hiking. It's an easygoing afternoon among the old mine ruins, with plenty to talk about. Interested?</t>
        </is>
      </c>
      <c r="H5" s="23" t="inlineStr">
        <is>
          <t>nothing in the profile conflicts with it</t>
        </is>
      </c>
      <c r="I5" s="24" t="inlineStr">
        <is>
          <t>YES</t>
        </is>
      </c>
      <c r="J5" s="23" t="inlineStr">
        <is>
          <t>-</t>
        </is>
      </c>
      <c r="K5" s="23" t="inlineStr">
        <is>
          <t>Carlos would love this — hiking, history, and a ghost town ruin all in one, during his free Saturday afternoon. Count him in!</t>
        </is>
      </c>
      <c r="L5" s="24" t="inlineStr">
        <is>
          <t>Yes</t>
        </is>
      </c>
      <c r="M5" s="25" t="n"/>
      <c r="N5" s="26" t="inlineStr">
        <is>
          <t>#26 ask, #27 call, #43 reply</t>
        </is>
      </c>
    </row>
    <row r="6" ht="68" customHeight="1">
      <c r="A6" s="23" t="inlineStr">
        <is>
          <t>S 2026-10-31/g3</t>
        </is>
      </c>
      <c r="B6" s="23" t="inlineStr">
        <is>
          <t>S</t>
        </is>
      </c>
      <c r="C6" s="23" t="inlineStr">
        <is>
          <t>Kraken hockey night</t>
        </is>
      </c>
      <c r="D6" s="23" t="inlineStr">
        <is>
          <t>e094 Cody F.</t>
        </is>
      </c>
      <c r="E6" s="24" t="n">
        <v>1</v>
      </c>
      <c r="F6" s="23" t="inlineStr">
        <is>
          <t>7pm-9:30pm</t>
        </is>
      </c>
      <c r="G6" s="23" t="inlineStr">
        <is>
          <t>Hi! The Kraken play Saturday night (31 Oct), 7pm-9:30pm, and a small group is watching at the Black Diamond Grill. It's low cost: just your food and drinks. You'd join three other neighbors who are serious about watching sports, and a couple of them are into good food too. It's a fun way to spend Halloween night. Want a seat?</t>
        </is>
      </c>
      <c r="H6" s="23" t="inlineStr">
        <is>
          <t>nothing in the profile conflicts with it</t>
        </is>
      </c>
      <c r="I6" s="24" t="inlineStr">
        <is>
          <t>YES</t>
        </is>
      </c>
      <c r="J6" s="23" t="inlineStr">
        <is>
          <t>-</t>
        </is>
      </c>
      <c r="K6" s="23" t="inlineStr">
        <is>
          <t>Cody's free Saturday evening and loves watch sports plus dining, so Kraken hockey night at Black Diamond Grill is a great fit. Count him in!</t>
        </is>
      </c>
      <c r="L6" s="24" t="inlineStr">
        <is>
          <t>Yes</t>
        </is>
      </c>
      <c r="M6" s="25" t="n"/>
      <c r="N6" s="26" t="inlineStr">
        <is>
          <t>#31 ask, #32 call, #48 reply</t>
        </is>
      </c>
    </row>
    <row r="7" ht="55" customHeight="1">
      <c r="A7" s="23" t="inlineStr">
        <is>
          <t>S 2026-10-31/g3</t>
        </is>
      </c>
      <c r="B7" s="23" t="inlineStr">
        <is>
          <t>S</t>
        </is>
      </c>
      <c r="C7" s="23" t="inlineStr">
        <is>
          <t>Kraken hockey night</t>
        </is>
      </c>
      <c r="D7" s="23" t="inlineStr">
        <is>
          <t>e075 Rosa G.</t>
        </is>
      </c>
      <c r="E7" s="24" t="n">
        <v>1</v>
      </c>
      <c r="F7" s="23" t="inlineStr">
        <is>
          <t>7pm-9:30pm</t>
        </is>
      </c>
      <c r="G7" s="23" t="inlineStr">
        <is>
          <t>Hi! Kraken hockey night is this Saturday (31 Oct), 7pm-9:30pm, at the Black Diamond Grill. It's low cost. You'd be watching with three other neighbors who love sports and craft beer as much as you do. Grab a pint, cheer on the Kraken, and meet some locals. Are you in?</t>
        </is>
      </c>
      <c r="H7" s="23" t="inlineStr">
        <is>
          <t>nothing in the profile conflicts with it</t>
        </is>
      </c>
      <c r="I7" s="24" t="inlineStr">
        <is>
          <t>YES</t>
        </is>
      </c>
      <c r="J7" s="23" t="inlineStr">
        <is>
          <t>-</t>
        </is>
      </c>
      <c r="K7" s="23" t="inlineStr">
        <is>
          <t>Rosa's free Saturday evening and this is right up her alley—watching sports with craft beer and meeting neighbors sounds great. She's in!</t>
        </is>
      </c>
      <c r="L7" s="24" t="inlineStr">
        <is>
          <t>Yes</t>
        </is>
      </c>
      <c r="M7" s="25" t="n"/>
      <c r="N7" s="26" t="inlineStr">
        <is>
          <t>#36 ask, #37 call, #51 reply</t>
        </is>
      </c>
    </row>
    <row r="8" ht="55" customHeight="1">
      <c r="A8" s="23" t="inlineStr">
        <is>
          <t>S 2026-10-31/g3</t>
        </is>
      </c>
      <c r="B8" s="23" t="inlineStr">
        <is>
          <t>S</t>
        </is>
      </c>
      <c r="C8" s="23" t="inlineStr">
        <is>
          <t>Kraken hockey night</t>
        </is>
      </c>
      <c r="D8" s="23" t="inlineStr">
        <is>
          <t>e158 Olivia A.</t>
        </is>
      </c>
      <c r="E8" s="24" t="n">
        <v>1</v>
      </c>
      <c r="F8" s="23" t="inlineStr">
        <is>
          <t>7pm-9:30pm</t>
        </is>
      </c>
      <c r="G8" s="23" t="inlineStr">
        <is>
          <t>Hi! How about watching the Kraken game this Saturday (31 Oct), 7pm-9:30pm, at the Black Diamond Grill? It's low cost. You'd join three other neighbors who are keen fans, and a couple of them share your love of craft beer and good food. It should be a lively, friendly evening. Interested?</t>
        </is>
      </c>
      <c r="H8" s="23" t="inlineStr">
        <is>
          <t>nothing in the profile conflicts with it</t>
        </is>
      </c>
      <c r="I8" s="24" t="inlineStr">
        <is>
          <t>NO</t>
        </is>
      </c>
      <c r="J8" s="23" t="inlineStr">
        <is>
          <t>-</t>
        </is>
      </c>
      <c r="K8" s="23" t="inlineStr">
        <is>
          <t>Olivia's free Saturday evening, but watching a competitive sports game isn't her thing—she avoids competitive settings and this isn't really aligned with her interests in craft beer, running, dining, or volunteering. Thanks for thinking of her though!</t>
        </is>
      </c>
      <c r="L8" s="24" t="inlineStr">
        <is>
          <t>No</t>
        </is>
      </c>
      <c r="M8" s="25" t="n"/>
      <c r="N8" s="26" t="inlineStr">
        <is>
          <t>#41 ask, #42 call, #54 reply</t>
        </is>
      </c>
    </row>
    <row r="9" ht="55" customHeight="1">
      <c r="A9" s="23" t="inlineStr">
        <is>
          <t>S 2026-10-31/g3</t>
        </is>
      </c>
      <c r="B9" s="23" t="inlineStr">
        <is>
          <t>S</t>
        </is>
      </c>
      <c r="C9" s="23" t="inlineStr">
        <is>
          <t>Kraken hockey night</t>
        </is>
      </c>
      <c r="D9" s="23" t="inlineStr">
        <is>
          <t>e157 Kevin B.</t>
        </is>
      </c>
      <c r="E9" s="24" t="n">
        <v>1</v>
      </c>
      <c r="F9" s="23" t="inlineStr">
        <is>
          <t>7pm-9:30pm</t>
        </is>
      </c>
      <c r="G9" s="23" t="inlineStr">
        <is>
          <t>Hi! The Kraken are on this Saturday (31 Oct), 7pm-9:30pm, and a small group is watching at the Black Diamond Grill. It's low cost. You'd join three other neighbors who love watching sports, and some of them are craft beer fans too, so it's a relaxed night with good company. Want to come?</t>
        </is>
      </c>
      <c r="H9" s="23" t="inlineStr">
        <is>
          <t>nothing in the profile conflicts with it</t>
        </is>
      </c>
      <c r="I9" s="24" t="inlineStr">
        <is>
          <t>YES</t>
        </is>
      </c>
      <c r="J9" s="23" t="inlineStr">
        <is>
          <t>-</t>
        </is>
      </c>
      <c r="K9" s="23" t="inlineStr">
        <is>
          <t>Kevin's free Saturday evening and loves watching sports with craft beer on hand — count him in for Kraken hockey night at Black Diamond Grill, low cost and small group works great for him.</t>
        </is>
      </c>
      <c r="L9" s="24" t="inlineStr">
        <is>
          <t>Yes</t>
        </is>
      </c>
      <c r="M9" s="25" t="n"/>
      <c r="N9" s="26" t="inlineStr">
        <is>
          <t>#46 ask, #47 call, #57 reply</t>
        </is>
      </c>
    </row>
    <row r="10" ht="55" customHeight="1">
      <c r="A10" s="23" t="inlineStr">
        <is>
          <t>P1 2026-10-28/g1</t>
        </is>
      </c>
      <c r="B10" s="23" t="inlineStr">
        <is>
          <t>P1</t>
        </is>
      </c>
      <c r="C10" s="23" t="inlineStr">
        <is>
          <t>Pickleball doubles</t>
        </is>
      </c>
      <c r="D10" s="23" t="inlineStr">
        <is>
          <t>e081 Andres T.</t>
        </is>
      </c>
      <c r="E10" s="24" t="n">
        <v>1</v>
      </c>
      <c r="F10" s="23" t="inlineStr">
        <is>
          <t>5:30pm-7pm</t>
        </is>
      </c>
      <c r="G10" s="23" t="inlineStr">
        <is>
          <t>Pickleball doubles Wednesday 5:30-7pm at the public courts in Maple Valley, with 3 other neighbors who rate pickleball as highly as you do. That's a perfect four for rotating partners, and a couple of them share your love of live music. Free. Want in?</t>
        </is>
      </c>
      <c r="H10" s="23" t="inlineStr">
        <is>
          <t>nothing in the profile conflicts with it</t>
        </is>
      </c>
      <c r="I10" s="24" t="inlineStr">
        <is>
          <t>YES</t>
        </is>
      </c>
      <c r="J10" s="23" t="inlineStr">
        <is>
          <t>-</t>
        </is>
      </c>
      <c r="K10" s="23" t="inlineStr">
        <is>
          <t>Andres is free Wednesday evening and loves pickleball—count him in for doubles at Maple Valley, 5:30-7pm!</t>
        </is>
      </c>
      <c r="L10" s="24" t="inlineStr">
        <is>
          <t>Yes</t>
        </is>
      </c>
      <c r="M10" s="25" t="n"/>
      <c r="N10" s="26" t="inlineStr">
        <is>
          <t>#48 ask, #49 call, #56 reply</t>
        </is>
      </c>
    </row>
    <row r="11" ht="29" customHeight="1">
      <c r="A11" s="23" t="inlineStr">
        <is>
          <t>P1 2026-10-28/g1</t>
        </is>
      </c>
      <c r="B11" s="23" t="inlineStr">
        <is>
          <t>P1</t>
        </is>
      </c>
      <c r="C11" s="23" t="inlineStr">
        <is>
          <t>Pickleball doubles</t>
        </is>
      </c>
      <c r="D11" s="23" t="inlineStr">
        <is>
          <t>e081 Andres T.</t>
        </is>
      </c>
      <c r="E11" s="24" t="n">
        <v>2</v>
      </c>
      <c r="F11" s="23" t="inlineStr">
        <is>
          <t>5:30pm-7pm</t>
        </is>
      </c>
      <c r="G11" s="23" t="inlineStr">
        <is>
          <t>Confirmed: pickleball doubles today, Wed 28 Oct, 5:30pm-7pm with Quinn, Kevin and Heather.</t>
        </is>
      </c>
      <c r="H11" s="23" t="inlineStr">
        <is>
          <t>nothing in the profile conflicts with it</t>
        </is>
      </c>
      <c r="I11" s="24" t="inlineStr">
        <is>
          <t>YES</t>
        </is>
      </c>
      <c r="J11" s="23" t="inlineStr">
        <is>
          <t>-</t>
        </is>
      </c>
      <c r="K11" s="23" t="inlineStr">
        <is>
          <t>Andres is free Wednesday evening and loves pickleball - he's happy to join Quinn, Kevin and Heather at 5:30pm in Maple Valley.</t>
        </is>
      </c>
      <c r="L11" s="24" t="inlineStr">
        <is>
          <t>Yes</t>
        </is>
      </c>
      <c r="M11" s="25" t="n"/>
      <c r="N11" s="26" t="inlineStr">
        <is>
          <t>#172 ask, #173 call, #180 reply</t>
        </is>
      </c>
    </row>
    <row r="12" ht="55" customHeight="1">
      <c r="A12" s="23" t="inlineStr">
        <is>
          <t>P1 2026-10-28/g1</t>
        </is>
      </c>
      <c r="B12" s="23" t="inlineStr">
        <is>
          <t>P1</t>
        </is>
      </c>
      <c r="C12" s="23" t="inlineStr">
        <is>
          <t>Pickleball doubles</t>
        </is>
      </c>
      <c r="D12" s="23" t="inlineStr">
        <is>
          <t>e043 Quinn J.</t>
        </is>
      </c>
      <c r="E12" s="24" t="n">
        <v>1</v>
      </c>
      <c r="F12" s="23" t="inlineStr">
        <is>
          <t>5:30pm-7pm</t>
        </is>
      </c>
      <c r="G12" s="23" t="inlineStr">
        <is>
          <t>Pickleball doubles Wednesday 5:30-7pm at the Maple Valley public courts, with 3 other keen players, so you get a full doubles four. A few of them are baseball fans too, so expect some chat between games. Free. Interested?</t>
        </is>
      </c>
      <c r="H12" s="23" t="inlineStr">
        <is>
          <t>nothing in the profile conflicts with it</t>
        </is>
      </c>
      <c r="I12" s="24" t="inlineStr">
        <is>
          <t>YES</t>
        </is>
      </c>
      <c r="J12" s="23" t="inlineStr">
        <is>
          <t>-</t>
        </is>
      </c>
      <c r="K12" s="23" t="inlineStr">
        <is>
          <t>Quinn's free Wednesday evening and loves pickleball—free doubles at Maple Valley works great, especially with some baseball chat thrown in. Count Quinn in!</t>
        </is>
      </c>
      <c r="L12" s="24" t="inlineStr">
        <is>
          <t>Yes</t>
        </is>
      </c>
      <c r="M12" s="25" t="n"/>
      <c r="N12" s="26" t="inlineStr">
        <is>
          <t>#50 ask, #51 call, #61 reply</t>
        </is>
      </c>
    </row>
    <row r="13" ht="42" customHeight="1">
      <c r="A13" s="23" t="inlineStr">
        <is>
          <t>P1 2026-10-28/g1</t>
        </is>
      </c>
      <c r="B13" s="23" t="inlineStr">
        <is>
          <t>P1</t>
        </is>
      </c>
      <c r="C13" s="23" t="inlineStr">
        <is>
          <t>Pickleball doubles</t>
        </is>
      </c>
      <c r="D13" s="23" t="inlineStr">
        <is>
          <t>e043 Quinn J.</t>
        </is>
      </c>
      <c r="E13" s="24" t="n">
        <v>2</v>
      </c>
      <c r="F13" s="23" t="inlineStr">
        <is>
          <t>5:30pm-7pm</t>
        </is>
      </c>
      <c r="G13" s="23" t="inlineStr">
        <is>
          <t>Confirmed: pickleball doubles today, Wed 28 Oct, 5:30pm-7pm with Andres, Kevin and Heather.</t>
        </is>
      </c>
      <c r="H13" s="23" t="inlineStr">
        <is>
          <t>nothing in the profile conflicts with it</t>
        </is>
      </c>
      <c r="I13" s="24" t="inlineStr">
        <is>
          <t>YES</t>
        </is>
      </c>
      <c r="J13" s="23" t="inlineStr">
        <is>
          <t>-</t>
        </is>
      </c>
      <c r="K13" s="23" t="inlineStr">
        <is>
          <t>Quinn's in for pickleball doubles Wed 28 Oct, 5:30-7pm at Maple Valley courts — free, matches his evening availability, and pickleball's his favorite. See you there!</t>
        </is>
      </c>
      <c r="L13" s="24" t="inlineStr">
        <is>
          <t>Yes</t>
        </is>
      </c>
      <c r="M13" s="25" t="n"/>
      <c r="N13" s="26" t="inlineStr">
        <is>
          <t>#174 ask, #175 call, #199 reply</t>
        </is>
      </c>
    </row>
    <row r="14" ht="55" customHeight="1">
      <c r="A14" s="23" t="inlineStr">
        <is>
          <t>P1 2026-10-28/g1</t>
        </is>
      </c>
      <c r="B14" s="23" t="inlineStr">
        <is>
          <t>P1</t>
        </is>
      </c>
      <c r="C14" s="23" t="inlineStr">
        <is>
          <t>Pickleball doubles</t>
        </is>
      </c>
      <c r="D14" s="23" t="inlineStr">
        <is>
          <t>e078 Kevin N.</t>
        </is>
      </c>
      <c r="E14" s="24" t="n">
        <v>1</v>
      </c>
      <c r="F14" s="23" t="inlineStr">
        <is>
          <t>5:30pm-7pm</t>
        </is>
      </c>
      <c r="G14" s="23" t="inlineStr">
        <is>
          <t>Wednesday 5:30-7pm: pickleball doubles at the Maple Valley public courts with 3 other neighbors who love the game. That's an exact four for doubles, and the group shares your taste for live music and baseball. Free. Sound good?</t>
        </is>
      </c>
      <c r="H14" s="23" t="inlineStr">
        <is>
          <t>nothing in the profile conflicts with it</t>
        </is>
      </c>
      <c r="I14" s="24" t="inlineStr">
        <is>
          <t>YES</t>
        </is>
      </c>
      <c r="J14" s="23" t="inlineStr">
        <is>
          <t>-</t>
        </is>
      </c>
      <c r="K14" s="23" t="inlineStr">
        <is>
          <t>Wednesday 5:30-7pm pickleball at Maple Valley courts works great for Kevin—free, fits his free evening, and pickleball's one of his favorites. Count him in!</t>
        </is>
      </c>
      <c r="L14" s="24" t="inlineStr">
        <is>
          <t>Yes</t>
        </is>
      </c>
      <c r="M14" s="25" t="n"/>
      <c r="N14" s="26" t="inlineStr">
        <is>
          <t>#52 ask, #53 call, #71 reply</t>
        </is>
      </c>
    </row>
    <row r="15" ht="29" customHeight="1">
      <c r="A15" s="23" t="inlineStr">
        <is>
          <t>P1 2026-10-28/g1</t>
        </is>
      </c>
      <c r="B15" s="23" t="inlineStr">
        <is>
          <t>P1</t>
        </is>
      </c>
      <c r="C15" s="23" t="inlineStr">
        <is>
          <t>Pickleball doubles</t>
        </is>
      </c>
      <c r="D15" s="23" t="inlineStr">
        <is>
          <t>e078 Kevin N.</t>
        </is>
      </c>
      <c r="E15" s="24" t="n">
        <v>2</v>
      </c>
      <c r="F15" s="23" t="inlineStr">
        <is>
          <t>5:30pm-7pm</t>
        </is>
      </c>
      <c r="G15" s="23" t="inlineStr">
        <is>
          <t>Confirmed: pickleball doubles today, Wed 28 Oct, 5:30pm-7pm with Andres, Quinn and Heather.</t>
        </is>
      </c>
      <c r="H15" s="23" t="inlineStr">
        <is>
          <t>nothing in the profile conflicts with it</t>
        </is>
      </c>
      <c r="I15" s="24" t="inlineStr">
        <is>
          <t>YES</t>
        </is>
      </c>
      <c r="J15" s="23" t="inlineStr">
        <is>
          <t>-</t>
        </is>
      </c>
      <c r="K15" s="23" t="inlineStr">
        <is>
          <t>Kevin's free Wednesday evening and loves pickleball - free doubles at Maple Valley courts 5:30-7pm works great, he's in!</t>
        </is>
      </c>
      <c r="L15" s="24" t="inlineStr">
        <is>
          <t>Yes</t>
        </is>
      </c>
      <c r="M15" s="25" t="n"/>
      <c r="N15" s="26" t="inlineStr">
        <is>
          <t>#176 ask, #177 call, #193 reply</t>
        </is>
      </c>
    </row>
    <row r="16" ht="55" customHeight="1">
      <c r="A16" s="23" t="inlineStr">
        <is>
          <t>P1 2026-10-28/g1</t>
        </is>
      </c>
      <c r="B16" s="23" t="inlineStr">
        <is>
          <t>P1</t>
        </is>
      </c>
      <c r="C16" s="23" t="inlineStr">
        <is>
          <t>Pickleball doubles</t>
        </is>
      </c>
      <c r="D16" s="23" t="inlineStr">
        <is>
          <t>e167 Heather P.</t>
        </is>
      </c>
      <c r="E16" s="24" t="n">
        <v>1</v>
      </c>
      <c r="F16" s="23" t="inlineStr">
        <is>
          <t>5:30pm-7pm</t>
        </is>
      </c>
      <c r="G16" s="23" t="inlineStr">
        <is>
          <t>Pickleball doubles Wednesday 5:30-7pm at the Maple Valley public courts, with 3 other neighbors who rate pickleball top-tier. It's a full four, so no waiting for a court partner. Free, and you'll be done well before evening plans. In?</t>
        </is>
      </c>
      <c r="H16" s="23" t="inlineStr">
        <is>
          <t>nothing in the profile conflicts with it</t>
        </is>
      </c>
      <c r="I16" s="24" t="inlineStr">
        <is>
          <t>YES</t>
        </is>
      </c>
      <c r="J16" s="23" t="inlineStr">
        <is>
          <t>-</t>
        </is>
      </c>
      <c r="K16" s="23" t="inlineStr">
        <is>
          <t>Heather's free Wednesday evening and pickleball is her favorite—free courts in Maple Valley with a full four works great. She's in!</t>
        </is>
      </c>
      <c r="L16" s="24" t="inlineStr">
        <is>
          <t>Yes</t>
        </is>
      </c>
      <c r="M16" s="25" t="n"/>
      <c r="N16" s="26" t="inlineStr">
        <is>
          <t>#54 ask, #55 call, #66 reply</t>
        </is>
      </c>
    </row>
    <row r="17" ht="42" customHeight="1">
      <c r="A17" s="23" t="inlineStr">
        <is>
          <t>P1 2026-10-28/g1</t>
        </is>
      </c>
      <c r="B17" s="23" t="inlineStr">
        <is>
          <t>P1</t>
        </is>
      </c>
      <c r="C17" s="23" t="inlineStr">
        <is>
          <t>Pickleball doubles</t>
        </is>
      </c>
      <c r="D17" s="23" t="inlineStr">
        <is>
          <t>e167 Heather P.</t>
        </is>
      </c>
      <c r="E17" s="24" t="n">
        <v>2</v>
      </c>
      <c r="F17" s="23" t="inlineStr">
        <is>
          <t>5:30pm-7pm</t>
        </is>
      </c>
      <c r="G17" s="23" t="inlineStr">
        <is>
          <t>Confirmed: pickleball doubles today, Wed 28 Oct, 5:30pm-7pm with Andres, Quinn and Kevin.</t>
        </is>
      </c>
      <c r="H17" s="23" t="inlineStr">
        <is>
          <t>nothing in the profile conflicts with it</t>
        </is>
      </c>
      <c r="I17" s="24" t="inlineStr">
        <is>
          <t>YES</t>
        </is>
      </c>
      <c r="J17" s="23" t="inlineStr">
        <is>
          <t>-</t>
        </is>
      </c>
      <c r="K17" s="23" t="inlineStr">
        <is>
          <t>Wednesday evening works great for Heather — she's free then, loves pickleball, and free at public courts fits her budget perfectly. Confirmed!</t>
        </is>
      </c>
      <c r="L17" s="24" t="inlineStr">
        <is>
          <t>Yes</t>
        </is>
      </c>
      <c r="M17" s="25" t="n"/>
      <c r="N17" s="26" t="inlineStr">
        <is>
          <t>#178 ask, #179 call, #187 reply</t>
        </is>
      </c>
    </row>
    <row r="18" ht="42" customHeight="1">
      <c r="A18" s="23" t="inlineStr">
        <is>
          <t>P1 2026-10-28/g2</t>
        </is>
      </c>
      <c r="B18" s="23" t="inlineStr">
        <is>
          <t>P1</t>
        </is>
      </c>
      <c r="C18" s="23" t="inlineStr">
        <is>
          <t>Trivia night as one team</t>
        </is>
      </c>
      <c r="D18" s="23" t="inlineStr">
        <is>
          <t>e123 Rachel P.</t>
        </is>
      </c>
      <c r="E18" s="24" t="n">
        <v>1</v>
      </c>
      <c r="F18" s="23" t="inlineStr">
        <is>
          <t>7pm-9pm</t>
        </is>
      </c>
      <c r="G18" s="23" t="inlineStr">
        <is>
          <t>Trivia night Wednesday 7-9pm at a Black Diamond taproom, playing as one team with 4 other neighbors. Several of them are craft-beer fans like you, and there's a mix of live-music folks too. Low cost. Join the team?</t>
        </is>
      </c>
      <c r="H18" s="23" t="inlineStr">
        <is>
          <t>nothing in the profile conflicts with it</t>
        </is>
      </c>
      <c r="I18" s="24" t="inlineStr">
        <is>
          <t>YES</t>
        </is>
      </c>
      <c r="J18" s="23" t="inlineStr">
        <is>
          <t>-</t>
        </is>
      </c>
      <c r="K18" s="23" t="inlineStr">
        <is>
          <t>A taproom trivia night on Wednesday evening works great for Rachel — she loves craft beer and the timing fits her free evening perfectly. Count her in!</t>
        </is>
      </c>
      <c r="L18" s="24" t="inlineStr">
        <is>
          <t>Yes</t>
        </is>
      </c>
      <c r="M18" s="25" t="n"/>
      <c r="N18" s="26" t="inlineStr">
        <is>
          <t>#59 ask, #60 call, #101 reply</t>
        </is>
      </c>
    </row>
    <row r="19" ht="42" customHeight="1">
      <c r="A19" s="23" t="inlineStr">
        <is>
          <t>P1 2026-10-28/g2</t>
        </is>
      </c>
      <c r="B19" s="23" t="inlineStr">
        <is>
          <t>P1</t>
        </is>
      </c>
      <c r="C19" s="23" t="inlineStr">
        <is>
          <t>Trivia night as one team</t>
        </is>
      </c>
      <c r="D19" s="23" t="inlineStr">
        <is>
          <t>e123 Rachel P.</t>
        </is>
      </c>
      <c r="E19" s="24" t="n">
        <v>2</v>
      </c>
      <c r="F19" s="23" t="inlineStr">
        <is>
          <t>7pm-9pm</t>
        </is>
      </c>
      <c r="G19" s="23" t="inlineStr">
        <is>
          <t>Confirmed: trivia night as one team today, Wed 28 Oct, 7pm-9pm with Lauren, Rohan, Kavya and Rosa.</t>
        </is>
      </c>
      <c r="H19" s="23" t="inlineStr">
        <is>
          <t>nothing in the profile conflicts with it</t>
        </is>
      </c>
      <c r="I19" s="24" t="inlineStr">
        <is>
          <t>YES</t>
        </is>
      </c>
      <c r="J19" s="23" t="inlineStr">
        <is>
          <t>-</t>
        </is>
      </c>
      <c r="K19" s="23" t="inlineStr">
        <is>
          <t>Wednesday evening works great for Rachel, and a taproom setting fits her love of craft beer—she's happy to join the trivia team with Lauren, Rohan, Kavya and Rosa.</t>
        </is>
      </c>
      <c r="L19" s="24" t="inlineStr">
        <is>
          <t>Yes</t>
        </is>
      </c>
      <c r="M19" s="25" t="n"/>
      <c r="N19" s="26" t="inlineStr">
        <is>
          <t>#185 ask, #186 call, #223 reply</t>
        </is>
      </c>
    </row>
    <row r="20" ht="42" customHeight="1">
      <c r="A20" s="23" t="inlineStr">
        <is>
          <t>P1 2026-10-28/g2</t>
        </is>
      </c>
      <c r="B20" s="23" t="inlineStr">
        <is>
          <t>P1</t>
        </is>
      </c>
      <c r="C20" s="23" t="inlineStr">
        <is>
          <t>Trivia night as one team</t>
        </is>
      </c>
      <c r="D20" s="23" t="inlineStr">
        <is>
          <t>e049 Lauren P.</t>
        </is>
      </c>
      <c r="E20" s="24" t="n">
        <v>1</v>
      </c>
      <c r="F20" s="23" t="inlineStr">
        <is>
          <t>7pm-9pm</t>
        </is>
      </c>
      <c r="G20" s="23" t="inlineStr">
        <is>
          <t>Wednesday 7-9pm: trivia night at a Black Diamond taproom as one team of 5 neighbors. It's a relaxed way to meet people over a craft beer, and a few others are around your age. Low cost. Want a seat?</t>
        </is>
      </c>
      <c r="H20" s="23" t="inlineStr">
        <is>
          <t>nothing in the profile conflicts with it</t>
        </is>
      </c>
      <c r="I20" s="24" t="inlineStr">
        <is>
          <t>YES</t>
        </is>
      </c>
      <c r="J20" s="23" t="inlineStr">
        <is>
          <t>-</t>
        </is>
      </c>
      <c r="K20" s="23" t="inlineStr">
        <is>
          <t>Wednesday evening works great for Lauren—craft beer and a relaxed trivia night with neighbors sounds like a fun, low-cost time. Count her in!</t>
        </is>
      </c>
      <c r="L20" s="24" t="inlineStr">
        <is>
          <t>Yes</t>
        </is>
      </c>
      <c r="M20" s="25" t="n"/>
      <c r="N20" s="26" t="inlineStr">
        <is>
          <t>#64 ask, #65 call, #76 reply</t>
        </is>
      </c>
    </row>
    <row r="21" ht="29" customHeight="1">
      <c r="A21" s="23" t="inlineStr">
        <is>
          <t>P1 2026-10-28/g2</t>
        </is>
      </c>
      <c r="B21" s="23" t="inlineStr">
        <is>
          <t>P1</t>
        </is>
      </c>
      <c r="C21" s="23" t="inlineStr">
        <is>
          <t>Trivia night as one team</t>
        </is>
      </c>
      <c r="D21" s="23" t="inlineStr">
        <is>
          <t>e049 Lauren P.</t>
        </is>
      </c>
      <c r="E21" s="24" t="n">
        <v>2</v>
      </c>
      <c r="F21" s="23" t="inlineStr">
        <is>
          <t>7pm-9pm</t>
        </is>
      </c>
      <c r="G21" s="23" t="inlineStr">
        <is>
          <t>Confirmed: trivia night as one team today, Wed 28 Oct, 7pm-9pm with Rachel, Rohan, Kavya and Rosa.</t>
        </is>
      </c>
      <c r="H21" s="23" t="inlineStr">
        <is>
          <t>nothing in the profile conflicts with it</t>
        </is>
      </c>
      <c r="I21" s="24" t="inlineStr">
        <is>
          <t>YES</t>
        </is>
      </c>
      <c r="J21" s="23" t="inlineStr">
        <is>
          <t>-</t>
        </is>
      </c>
      <c r="K21" s="23" t="inlineStr">
        <is>
          <t>Lauren's free Wednesday evening and a taproom trivia night fits her craft beer love and low-cost budget perfectly—she's in!</t>
        </is>
      </c>
      <c r="L21" s="24" t="inlineStr">
        <is>
          <t>Yes</t>
        </is>
      </c>
      <c r="M21" s="25" t="n"/>
      <c r="N21" s="26" t="inlineStr">
        <is>
          <t>#191 ask, #192 call, #205 reply</t>
        </is>
      </c>
    </row>
    <row r="22" ht="42" customHeight="1">
      <c r="A22" s="23" t="inlineStr">
        <is>
          <t>P1 2026-10-28/g2</t>
        </is>
      </c>
      <c r="B22" s="23" t="inlineStr">
        <is>
          <t>P1</t>
        </is>
      </c>
      <c r="C22" s="23" t="inlineStr">
        <is>
          <t>Trivia night as one team</t>
        </is>
      </c>
      <c r="D22" s="23" t="inlineStr">
        <is>
          <t>e074 Rohan L.</t>
        </is>
      </c>
      <c r="E22" s="24" t="n">
        <v>1</v>
      </c>
      <c r="F22" s="23" t="inlineStr">
        <is>
          <t>7pm-9pm</t>
        </is>
      </c>
      <c r="G22" s="23" t="inlineStr">
        <is>
          <t>Trivia night Wednesday 7-9pm at a Black Diamond taproom, with you and 4 other neighbors playing as one team. There's good craft beer and good company, and you'll bring the breadth a team needs. Low cost. Interested?</t>
        </is>
      </c>
      <c r="H22" s="23" t="inlineStr">
        <is>
          <t>nothing in the profile conflicts with it</t>
        </is>
      </c>
      <c r="I22" s="24" t="inlineStr">
        <is>
          <t>YES</t>
        </is>
      </c>
      <c r="J22" s="23" t="inlineStr">
        <is>
          <t>-</t>
        </is>
      </c>
      <c r="K22" s="23" t="inlineStr">
        <is>
          <t>Wednesday evening works great for Rohan, and a taproom with craft beer and neighbors sounds like a fun time — he's in.</t>
        </is>
      </c>
      <c r="L22" s="24" t="inlineStr">
        <is>
          <t>Yes</t>
        </is>
      </c>
      <c r="M22" s="25" t="n"/>
      <c r="N22" s="26" t="inlineStr">
        <is>
          <t>#69 ask, #70 call, #96 reply</t>
        </is>
      </c>
    </row>
    <row r="23" ht="29" customHeight="1">
      <c r="A23" s="23" t="inlineStr">
        <is>
          <t>P1 2026-10-28/g2</t>
        </is>
      </c>
      <c r="B23" s="23" t="inlineStr">
        <is>
          <t>P1</t>
        </is>
      </c>
      <c r="C23" s="23" t="inlineStr">
        <is>
          <t>Trivia night as one team</t>
        </is>
      </c>
      <c r="D23" s="23" t="inlineStr">
        <is>
          <t>e074 Rohan L.</t>
        </is>
      </c>
      <c r="E23" s="24" t="n">
        <v>2</v>
      </c>
      <c r="F23" s="23" t="inlineStr">
        <is>
          <t>7pm-9pm</t>
        </is>
      </c>
      <c r="G23" s="23" t="inlineStr">
        <is>
          <t>Confirmed: trivia night as one team today, Wed 28 Oct, 7pm-9pm with Rachel, Lauren, Kavya and Rosa.</t>
        </is>
      </c>
      <c r="H23" s="23" t="inlineStr">
        <is>
          <t>nothing in the profile conflicts with it</t>
        </is>
      </c>
      <c r="I23" s="24" t="inlineStr">
        <is>
          <t>YES</t>
        </is>
      </c>
      <c r="J23" s="23" t="inlineStr">
        <is>
          <t>-</t>
        </is>
      </c>
      <c r="K23" s="23" t="inlineStr">
        <is>
          <t>Wednesday evening works great for Rohan, and a taproom trivia night pairs nicely with his love of craft beer — he's in!</t>
        </is>
      </c>
      <c r="L23" s="24" t="inlineStr">
        <is>
          <t>Yes</t>
        </is>
      </c>
      <c r="M23" s="25" t="n"/>
      <c r="N23" s="26" t="inlineStr">
        <is>
          <t>#197 ask, #198 call, #229 reply</t>
        </is>
      </c>
    </row>
    <row r="24" ht="42" customHeight="1">
      <c r="A24" s="23" t="inlineStr">
        <is>
          <t>P1 2026-10-28/g2</t>
        </is>
      </c>
      <c r="B24" s="23" t="inlineStr">
        <is>
          <t>P1</t>
        </is>
      </c>
      <c r="C24" s="23" t="inlineStr">
        <is>
          <t>Trivia night as one team</t>
        </is>
      </c>
      <c r="D24" s="23" t="inlineStr">
        <is>
          <t>e170 Kavya T.</t>
        </is>
      </c>
      <c r="E24" s="24" t="n">
        <v>1</v>
      </c>
      <c r="F24" s="23" t="inlineStr">
        <is>
          <t>7pm-9pm</t>
        </is>
      </c>
      <c r="G24" s="23" t="inlineStr">
        <is>
          <t>You love trivia, so here's one: Wednesday 7-9pm at a Black Diamond taproom, as one team with 4 other neighbors, a couple of them close to your age. Low cost. Shall we count you in?</t>
        </is>
      </c>
      <c r="H24" s="23" t="inlineStr">
        <is>
          <t>nothing in the profile conflicts with it</t>
        </is>
      </c>
      <c r="I24" s="24" t="inlineStr">
        <is>
          <t>YES</t>
        </is>
      </c>
      <c r="J24" s="23" t="inlineStr">
        <is>
          <t>-</t>
        </is>
      </c>
      <c r="K24" s="23" t="inlineStr">
        <is>
          <t>Trivia night fits perfectly - Wednesday evening is free, low cost works for the budget, and trivia is one of Kavya's favorites. Count Kavya in!</t>
        </is>
      </c>
      <c r="L24" s="24" t="inlineStr">
        <is>
          <t>Yes</t>
        </is>
      </c>
      <c r="M24" s="25" t="n"/>
      <c r="N24" s="26" t="inlineStr">
        <is>
          <t>#74 ask, #75 call, #81 reply</t>
        </is>
      </c>
    </row>
    <row r="25" ht="42" customHeight="1">
      <c r="A25" s="23" t="inlineStr">
        <is>
          <t>P1 2026-10-28/g2</t>
        </is>
      </c>
      <c r="B25" s="23" t="inlineStr">
        <is>
          <t>P1</t>
        </is>
      </c>
      <c r="C25" s="23" t="inlineStr">
        <is>
          <t>Trivia night as one team</t>
        </is>
      </c>
      <c r="D25" s="23" t="inlineStr">
        <is>
          <t>e170 Kavya T.</t>
        </is>
      </c>
      <c r="E25" s="24" t="n">
        <v>2</v>
      </c>
      <c r="F25" s="23" t="inlineStr">
        <is>
          <t>7pm-9pm</t>
        </is>
      </c>
      <c r="G25" s="23" t="inlineStr">
        <is>
          <t>Confirmed: trivia night as one team today, Wed 28 Oct, 7pm-9pm with Rachel, Lauren, Rohan and Rosa.</t>
        </is>
      </c>
      <c r="H25" s="23" t="inlineStr">
        <is>
          <t>nothing in the profile conflicts with it</t>
        </is>
      </c>
      <c r="I25" s="24" t="inlineStr">
        <is>
          <t>YES</t>
        </is>
      </c>
      <c r="J25" s="23" t="inlineStr">
        <is>
          <t>-</t>
        </is>
      </c>
      <c r="K25" s="23" t="inlineStr">
        <is>
          <t>Trivia night fits perfectly - Kavya loves trivia, Wednesday evening is free, and a low-cost taproom works for the budget. Count her in!</t>
        </is>
      </c>
      <c r="L25" s="24" t="inlineStr">
        <is>
          <t>Yes</t>
        </is>
      </c>
      <c r="M25" s="25" t="n"/>
      <c r="N25" s="26" t="inlineStr">
        <is>
          <t>#203 ask, #204 call, #211 reply</t>
        </is>
      </c>
    </row>
    <row r="26" ht="42" customHeight="1">
      <c r="A26" s="23" t="inlineStr">
        <is>
          <t>P1 2026-10-28/g2</t>
        </is>
      </c>
      <c r="B26" s="23" t="inlineStr">
        <is>
          <t>P1</t>
        </is>
      </c>
      <c r="C26" s="23" t="inlineStr">
        <is>
          <t>Trivia night as one team</t>
        </is>
      </c>
      <c r="D26" s="23" t="inlineStr">
        <is>
          <t>e075 Rosa G.</t>
        </is>
      </c>
      <c r="E26" s="24" t="n">
        <v>1</v>
      </c>
      <c r="F26" s="23" t="inlineStr">
        <is>
          <t>7pm-9pm</t>
        </is>
      </c>
      <c r="G26" s="23" t="inlineStr">
        <is>
          <t>Wednesday 7-9pm: trivia at a Black Diamond taproom with 4 other neighbors as one team. Craft beer is on tap, and there are a few sports fans in the mix for the sports round. Low cost. Join?</t>
        </is>
      </c>
      <c r="H26" s="23" t="inlineStr">
        <is>
          <t>nothing in the profile conflicts with it</t>
        </is>
      </c>
      <c r="I26" s="24" t="inlineStr">
        <is>
          <t>YES</t>
        </is>
      </c>
      <c r="J26" s="23" t="inlineStr">
        <is>
          <t>-</t>
        </is>
      </c>
      <c r="K26" s="23" t="inlineStr">
        <is>
          <t>Rosa's free Wednesday evening and this fits perfectly — craft beer, low cost, and a sports round with fellow fans? She's in!</t>
        </is>
      </c>
      <c r="L26" s="24" t="inlineStr">
        <is>
          <t>Yes</t>
        </is>
      </c>
      <c r="M26" s="25" t="n"/>
      <c r="N26" s="26" t="inlineStr">
        <is>
          <t>#79 ask, #80 call, #86 reply</t>
        </is>
      </c>
    </row>
    <row r="27" ht="42" customHeight="1">
      <c r="A27" s="23" t="inlineStr">
        <is>
          <t>P1 2026-10-28/g2</t>
        </is>
      </c>
      <c r="B27" s="23" t="inlineStr">
        <is>
          <t>P1</t>
        </is>
      </c>
      <c r="C27" s="23" t="inlineStr">
        <is>
          <t>Trivia night as one team</t>
        </is>
      </c>
      <c r="D27" s="23" t="inlineStr">
        <is>
          <t>e075 Rosa G.</t>
        </is>
      </c>
      <c r="E27" s="24" t="n">
        <v>2</v>
      </c>
      <c r="F27" s="23" t="inlineStr">
        <is>
          <t>7pm-9pm</t>
        </is>
      </c>
      <c r="G27" s="23" t="inlineStr">
        <is>
          <t>Confirmed: trivia night as one team today, Wed 28 Oct, 7pm-9pm with Rachel, Lauren, Rohan and Kavya.</t>
        </is>
      </c>
      <c r="H27" s="23" t="inlineStr">
        <is>
          <t>nothing in the profile conflicts with it</t>
        </is>
      </c>
      <c r="I27" s="24" t="inlineStr">
        <is>
          <t>YES</t>
        </is>
      </c>
      <c r="J27" s="23" t="inlineStr">
        <is>
          <t>-</t>
        </is>
      </c>
      <c r="K27" s="23" t="inlineStr">
        <is>
          <t>Rosa's free Wednesday evening and loves a taproom setting with craft beer around - trivia night with the group sounds great, count her in!</t>
        </is>
      </c>
      <c r="L27" s="24" t="inlineStr">
        <is>
          <t>Yes</t>
        </is>
      </c>
      <c r="M27" s="25" t="n"/>
      <c r="N27" s="26" t="inlineStr">
        <is>
          <t>#209 ask, #210 call, #217 reply</t>
        </is>
      </c>
    </row>
    <row r="28" ht="42" customHeight="1">
      <c r="A28" s="23" t="inlineStr">
        <is>
          <t>P1 2026-10-28/g3</t>
        </is>
      </c>
      <c r="B28" s="23" t="inlineStr">
        <is>
          <t>P1</t>
        </is>
      </c>
      <c r="C28" s="23" t="inlineStr">
        <is>
          <t>Evening walk on the Ten Trails paths</t>
        </is>
      </c>
      <c r="D28" s="23" t="inlineStr">
        <is>
          <t>e082 Isabel G.</t>
        </is>
      </c>
      <c r="E28" s="24" t="n">
        <v>1</v>
      </c>
      <c r="F28" s="23" t="inlineStr">
        <is>
          <t>5:30pm-6:45pm</t>
        </is>
      </c>
      <c r="G28" s="23" t="inlineStr">
        <is>
          <t>An evening walk on the Ten Trails paths Wednesday 5:30-6:45pm, with 2 other neighbors who are runners like you. It's an easy way to unwind after the commute, and one of them loves dog walks too. Free. Interested?</t>
        </is>
      </c>
      <c r="H28" s="23" t="inlineStr">
        <is>
          <t>nothing in the profile conflicts with it</t>
        </is>
      </c>
      <c r="I28" s="24" t="inlineStr">
        <is>
          <t>YES</t>
        </is>
      </c>
      <c r="J28" s="23" t="inlineStr">
        <is>
          <t>-</t>
        </is>
      </c>
      <c r="K28" s="23" t="inlineStr">
        <is>
          <t>Wednesday evening works great for Isabel — a free group walk with fellow runners fits her schedule and interests perfectly. She's in!</t>
        </is>
      </c>
      <c r="L28" s="24" t="inlineStr">
        <is>
          <t>Yes</t>
        </is>
      </c>
      <c r="M28" s="25" t="n"/>
      <c r="N28" s="26" t="inlineStr">
        <is>
          <t>#84 ask, #85 call, #91 reply</t>
        </is>
      </c>
    </row>
    <row r="29" ht="42" customHeight="1">
      <c r="A29" s="23" t="inlineStr">
        <is>
          <t>P1 2026-10-28/g3</t>
        </is>
      </c>
      <c r="B29" s="23" t="inlineStr">
        <is>
          <t>P1</t>
        </is>
      </c>
      <c r="C29" s="23" t="inlineStr">
        <is>
          <t>Evening walk on the Ten Trails paths</t>
        </is>
      </c>
      <c r="D29" s="23" t="inlineStr">
        <is>
          <t>e082 Isabel G.</t>
        </is>
      </c>
      <c r="E29" s="24" t="n">
        <v>2</v>
      </c>
      <c r="F29" s="23" t="inlineStr">
        <is>
          <t>5:30pm-6:45pm</t>
        </is>
      </c>
      <c r="G29" s="23" t="inlineStr">
        <is>
          <t>Confirmed: evening walk on the Ten Trails paths today, Wed 28 Oct, 5:30pm-6:45pm with Dylan and Donna.</t>
        </is>
      </c>
      <c r="H29" s="23" t="inlineStr">
        <is>
          <t>nothing in the profile conflicts with it</t>
        </is>
      </c>
      <c r="I29" s="24" t="inlineStr">
        <is>
          <t>YES</t>
        </is>
      </c>
      <c r="J29" s="23" t="inlineStr">
        <is>
          <t>-</t>
        </is>
      </c>
      <c r="K29" s="23" t="inlineStr">
        <is>
          <t>Wednesday evening works great for Isabel — a free walk on the Ten Trails paths fits her free schedule, is cost-free, and a small casual group (not a crowd) suits her. She's in!</t>
        </is>
      </c>
      <c r="L29" s="24" t="inlineStr">
        <is>
          <t>Yes</t>
        </is>
      </c>
      <c r="M29" s="25" t="n"/>
      <c r="N29" s="26" t="inlineStr">
        <is>
          <t>#215 ask, #216 call, #235 reply</t>
        </is>
      </c>
    </row>
    <row r="30" ht="42" customHeight="1">
      <c r="A30" s="23" t="inlineStr">
        <is>
          <t>P1 2026-10-28/g3</t>
        </is>
      </c>
      <c r="B30" s="23" t="inlineStr">
        <is>
          <t>P1</t>
        </is>
      </c>
      <c r="C30" s="23" t="inlineStr">
        <is>
          <t>Evening walk on the Ten Trails paths</t>
        </is>
      </c>
      <c r="D30" s="23" t="inlineStr">
        <is>
          <t>e046 Dylan B.</t>
        </is>
      </c>
      <c r="E30" s="24" t="n">
        <v>1</v>
      </c>
      <c r="F30" s="23" t="inlineStr">
        <is>
          <t>5:30pm-6:45pm</t>
        </is>
      </c>
      <c r="G30" s="23" t="inlineStr">
        <is>
          <t>Wednesday 5:30-6:45pm: an evening walk on the Ten Trails network, right in your neighborhood, with 2 other runners. Bring the camera if the light's good. Free. Want to join?</t>
        </is>
      </c>
      <c r="H30" s="23" t="inlineStr">
        <is>
          <t>nothing in the profile conflicts with it</t>
        </is>
      </c>
      <c r="I30" s="24" t="inlineStr">
        <is>
          <t>YES</t>
        </is>
      </c>
      <c r="J30" s="23" t="inlineStr">
        <is>
          <t>-</t>
        </is>
      </c>
      <c r="K30" s="23" t="inlineStr">
        <is>
          <t>Wednesday evening works great for Dylan - free time, local trails, and a walk with runners fits his love of running and hiking. He'll bring the camera too. Count him in!</t>
        </is>
      </c>
      <c r="L30" s="24" t="inlineStr">
        <is>
          <t>Yes</t>
        </is>
      </c>
      <c r="M30" s="25" t="n"/>
      <c r="N30" s="26" t="inlineStr">
        <is>
          <t>#89 ask, #90 call, #106 reply</t>
        </is>
      </c>
    </row>
    <row r="31" ht="42" customHeight="1">
      <c r="A31" s="23" t="inlineStr">
        <is>
          <t>P1 2026-10-28/g3</t>
        </is>
      </c>
      <c r="B31" s="23" t="inlineStr">
        <is>
          <t>P1</t>
        </is>
      </c>
      <c r="C31" s="23" t="inlineStr">
        <is>
          <t>Evening walk on the Ten Trails paths</t>
        </is>
      </c>
      <c r="D31" s="23" t="inlineStr">
        <is>
          <t>e046 Dylan B.</t>
        </is>
      </c>
      <c r="E31" s="24" t="n">
        <v>2</v>
      </c>
      <c r="F31" s="23" t="inlineStr">
        <is>
          <t>5:30pm-6:45pm</t>
        </is>
      </c>
      <c r="G31" s="23" t="inlineStr">
        <is>
          <t>Confirmed: evening walk on the Ten Trails paths today, Wed 28 Oct, 5:30pm-6:45pm with Isabel and Donna.</t>
        </is>
      </c>
      <c r="H31" s="23" t="inlineStr">
        <is>
          <t>nothing in the profile conflicts with it</t>
        </is>
      </c>
      <c r="I31" s="24" t="inlineStr">
        <is>
          <t>YES</t>
        </is>
      </c>
      <c r="J31" s="23" t="inlineStr">
        <is>
          <t>-</t>
        </is>
      </c>
      <c r="K31" s="23" t="inlineStr">
        <is>
          <t>This works well for Dylan — free Wednesday evening, a walk fits his love of hiking/outdoors, and it's free. He's happy to join Isabel and Donna.</t>
        </is>
      </c>
      <c r="L31" s="24" t="inlineStr">
        <is>
          <t>Yes</t>
        </is>
      </c>
      <c r="M31" s="25" t="n"/>
      <c r="N31" s="26" t="inlineStr">
        <is>
          <t>#221 ask, #222 call, #241 reply</t>
        </is>
      </c>
    </row>
    <row r="32" ht="42" customHeight="1">
      <c r="A32" s="23" t="inlineStr">
        <is>
          <t>P1 2026-10-28/g3</t>
        </is>
      </c>
      <c r="B32" s="23" t="inlineStr">
        <is>
          <t>P1</t>
        </is>
      </c>
      <c r="C32" s="23" t="inlineStr">
        <is>
          <t>Evening walk on the Ten Trails paths</t>
        </is>
      </c>
      <c r="D32" s="23" t="inlineStr">
        <is>
          <t>e067 Donna M.</t>
        </is>
      </c>
      <c r="E32" s="24" t="n">
        <v>1</v>
      </c>
      <c r="F32" s="23" t="inlineStr">
        <is>
          <t>5:30pm-6:45pm</t>
        </is>
      </c>
      <c r="G32" s="23" t="inlineStr">
        <is>
          <t>Evening walk on the Ten Trails paths Wednesday 5:30-6:45pm with 2 other neighbors who run and walk. It's a small, easy group, and one of them is a fellow dog-walk fan. Free. Sound good?</t>
        </is>
      </c>
      <c r="H32" s="23" t="inlineStr">
        <is>
          <t>nothing in the profile conflicts with it</t>
        </is>
      </c>
      <c r="I32" s="24" t="inlineStr">
        <is>
          <t>YES</t>
        </is>
      </c>
      <c r="J32" s="23" t="inlineStr">
        <is>
          <t>-</t>
        </is>
      </c>
      <c r="K32" s="23" t="inlineStr">
        <is>
          <t>Donna's free Wednesday evening and loves dog walks/trails—small group of neighbors sounds great, not a crowd. She's in for the Ten Trails walk, 5:30-6:45pm.</t>
        </is>
      </c>
      <c r="L32" s="24" t="inlineStr">
        <is>
          <t>Yes</t>
        </is>
      </c>
      <c r="M32" s="25" t="n"/>
      <c r="N32" s="26" t="inlineStr">
        <is>
          <t>#94 ask, #95 call, #116 reply</t>
        </is>
      </c>
    </row>
    <row r="33" ht="42" customHeight="1">
      <c r="A33" s="23" t="inlineStr">
        <is>
          <t>P1 2026-10-28/g3</t>
        </is>
      </c>
      <c r="B33" s="23" t="inlineStr">
        <is>
          <t>P1</t>
        </is>
      </c>
      <c r="C33" s="23" t="inlineStr">
        <is>
          <t>Evening walk on the Ten Trails paths</t>
        </is>
      </c>
      <c r="D33" s="23" t="inlineStr">
        <is>
          <t>e067 Donna M.</t>
        </is>
      </c>
      <c r="E33" s="24" t="n">
        <v>2</v>
      </c>
      <c r="F33" s="23" t="inlineStr">
        <is>
          <t>5:30pm-6:45pm</t>
        </is>
      </c>
      <c r="G33" s="23" t="inlineStr">
        <is>
          <t>Confirmed: evening walk on the Ten Trails paths today, Wed 28 Oct, 5:30pm-6:45pm with Isabel and Dylan.</t>
        </is>
      </c>
      <c r="H33" s="23" t="inlineStr">
        <is>
          <t>nothing in the profile conflicts with it</t>
        </is>
      </c>
      <c r="I33" s="24" t="inlineStr">
        <is>
          <t>YES</t>
        </is>
      </c>
      <c r="J33" s="23" t="inlineStr">
        <is>
          <t>-</t>
        </is>
      </c>
      <c r="K33" s="23" t="inlineStr">
        <is>
          <t>Wednesday evening works great for Donna—an evening walk on the Ten Trails paths with a small group fits her free time and love of outdoor activity. She's in.</t>
        </is>
      </c>
      <c r="L33" s="24" t="inlineStr">
        <is>
          <t>Yes</t>
        </is>
      </c>
      <c r="M33" s="25" t="n"/>
      <c r="N33" s="26" t="inlineStr">
        <is>
          <t>#227 ask, #228 call, #247 reply</t>
        </is>
      </c>
    </row>
    <row r="34" ht="42" customHeight="1">
      <c r="A34" s="23" t="inlineStr">
        <is>
          <t>P1 2026-10-28/g4</t>
        </is>
      </c>
      <c r="B34" s="23" t="inlineStr">
        <is>
          <t>P1</t>
        </is>
      </c>
      <c r="C34" s="23" t="inlineStr">
        <is>
          <t>Coffee and pastries at the Black Diamond Bakery</t>
        </is>
      </c>
      <c r="D34" s="23" t="inlineStr">
        <is>
          <t>e035 Mark C.</t>
        </is>
      </c>
      <c r="E34" s="24" t="n">
        <v>1</v>
      </c>
      <c r="F34" s="23" t="inlineStr">
        <is>
          <t>9am-10:30am</t>
        </is>
      </c>
      <c r="G34" s="23" t="inlineStr">
        <is>
          <t>Coffee and pastries at the Black Diamond Bakery Wednesday 9-10:30am, with 3 other parents who love coffee and baking as much as you do. Low cost. Join them?</t>
        </is>
      </c>
      <c r="H34" s="23" t="inlineStr">
        <is>
          <t>nothing in the profile conflicts with it</t>
        </is>
      </c>
      <c r="I34" s="24" t="inlineStr">
        <is>
          <t>YES</t>
        </is>
      </c>
      <c r="J34" s="23" t="inlineStr">
        <is>
          <t>-</t>
        </is>
      </c>
      <c r="K34" s="23" t="inlineStr">
        <is>
          <t>This fits perfectly — Wednesday morning is free, coffee and baking are right up Mark's alley, and it's low-cost. Count him in!</t>
        </is>
      </c>
      <c r="L34" s="24" t="inlineStr">
        <is>
          <t>Yes</t>
        </is>
      </c>
      <c r="M34" s="25" t="n"/>
      <c r="N34" s="26" t="inlineStr">
        <is>
          <t>#99 ask, #100 call, #111 reply</t>
        </is>
      </c>
    </row>
    <row r="35" ht="42" customHeight="1">
      <c r="A35" s="23" t="inlineStr">
        <is>
          <t>P1 2026-10-28/g4</t>
        </is>
      </c>
      <c r="B35" s="23" t="inlineStr">
        <is>
          <t>P1</t>
        </is>
      </c>
      <c r="C35" s="23" t="inlineStr">
        <is>
          <t>Coffee and pastries at the Black Diamond Bakery</t>
        </is>
      </c>
      <c r="D35" s="23" t="inlineStr">
        <is>
          <t>e035 Mark C.</t>
        </is>
      </c>
      <c r="E35" s="24" t="n">
        <v>2</v>
      </c>
      <c r="F35" s="23" t="inlineStr">
        <is>
          <t>10:30am-11:30am</t>
        </is>
      </c>
      <c r="G35" s="23" t="inlineStr">
        <is>
          <t>Quick change: Chris asked for a later start, so coffee and pastries at the Black Diamond Bakery would move to 10:30am-11:30am today (Wed 28 Oct). Does the new time still work for Mark?</t>
        </is>
      </c>
      <c r="H35" s="23" t="inlineStr">
        <is>
          <t>nothing in the profile conflicts with it</t>
        </is>
      </c>
      <c r="I35" s="24" t="inlineStr">
        <is>
          <t>YES</t>
        </is>
      </c>
      <c r="J35" s="23" t="inlineStr">
        <is>
          <t>-</t>
        </is>
      </c>
      <c r="K35" s="23" t="inlineStr">
        <is>
          <t>10:30-11:30am Wednesday works great for Mark — coffee and pastries fits his free morning, his love of coffee, and low-cost budget. Confirmed!</t>
        </is>
      </c>
      <c r="L35" s="24" t="inlineStr">
        <is>
          <t>Yes</t>
        </is>
      </c>
      <c r="M35" s="25" t="n"/>
      <c r="N35" s="26" t="inlineStr">
        <is>
          <t>#233 ask, #234 call, #253 reply</t>
        </is>
      </c>
    </row>
    <row r="36" ht="68" customHeight="1">
      <c r="A36" s="23" t="inlineStr">
        <is>
          <t>P1 2026-10-28/g4</t>
        </is>
      </c>
      <c r="B36" s="23" t="inlineStr">
        <is>
          <t>P1</t>
        </is>
      </c>
      <c r="C36" s="23" t="inlineStr">
        <is>
          <t>Coffee and pastries at the Black Diamond Bakery</t>
        </is>
      </c>
      <c r="D36" s="23" t="inlineStr">
        <is>
          <t>e127 Chris W.</t>
        </is>
      </c>
      <c r="E36" s="24" t="n">
        <v>1</v>
      </c>
      <c r="F36" s="23" t="inlineStr">
        <is>
          <t>9am-10:30am</t>
        </is>
      </c>
      <c r="G36" s="23" t="inlineStr">
        <is>
          <t>Wednesday 9-10:30am: coffee and pastries at the Black Diamond Bakery with 3 other parents of kids. They're all baking fans, so expect strong opinions on the scones. Low cost. Interested?</t>
        </is>
      </c>
      <c r="H36" s="23" t="inlineStr">
        <is>
          <t>nothing in the profile conflicts with it</t>
        </is>
      </c>
      <c r="I36" s="24" t="inlineStr">
        <is>
          <t>COUNTER</t>
        </is>
      </c>
      <c r="J36" s="23" t="inlineStr">
        <is>
          <t>Could we push it later in the morning, like 10:30-11:30am, since Chris avoids early starts? Or shift to Thursday morning if that's easier.</t>
        </is>
      </c>
      <c r="K36" s="23" t="inlineStr">
        <is>
          <t>Chris loves baking and coffee with neighbors, this sounds great! But 9am is a bit too early for him—could we start around 10:30-11am instead, or move it to Thursday morning?</t>
        </is>
      </c>
      <c r="L36" s="24" t="inlineStr">
        <is>
          <t>Yes</t>
        </is>
      </c>
      <c r="M36" s="25" t="n"/>
      <c r="N36" s="26" t="inlineStr">
        <is>
          <t>#104 ask, #105 call, #136 reply</t>
        </is>
      </c>
    </row>
    <row r="37" ht="55" customHeight="1">
      <c r="A37" s="23" t="inlineStr">
        <is>
          <t>P1 2026-10-28/g4</t>
        </is>
      </c>
      <c r="B37" s="23" t="inlineStr">
        <is>
          <t>P1</t>
        </is>
      </c>
      <c r="C37" s="23" t="inlineStr">
        <is>
          <t>Coffee and pastries at the Black Diamond Bakery</t>
        </is>
      </c>
      <c r="D37" s="23" t="inlineStr">
        <is>
          <t>e127 Chris W.</t>
        </is>
      </c>
      <c r="E37" s="24" t="n">
        <v>2</v>
      </c>
      <c r="F37" s="23" t="inlineStr">
        <is>
          <t>10:30am-11:30am</t>
        </is>
      </c>
      <c r="G37" s="23" t="inlineStr">
        <is>
          <t>Good news: we're moving coffee and pastries at the Black Diamond Bakery to 10:30am-11:30am today (Wed 28 Oct), as Chris suggested. I'm confirming the new time with Mark, Brian and Imani and will follow up once they reply.</t>
        </is>
      </c>
      <c r="H37" s="23" t="inlineStr">
        <is>
          <t>nothing in the profile conflicts with it</t>
        </is>
      </c>
      <c r="I37" s="24" t="inlineStr">
        <is>
          <t>YES</t>
        </is>
      </c>
      <c r="J37" s="23" t="inlineStr">
        <is>
          <t>-</t>
        </is>
      </c>
      <c r="K37" s="23" t="inlineStr">
        <is>
          <t>10:30am Wednesday works great for Chris—coffee, pastries, and baking vibes all check out. Please confirm with the group.</t>
        </is>
      </c>
      <c r="L37" s="24" t="inlineStr">
        <is>
          <t>Yes</t>
        </is>
      </c>
      <c r="M37" s="25" t="n"/>
      <c r="N37" s="26" t="inlineStr">
        <is>
          <t>#251 ask, #252 call, #271 reply</t>
        </is>
      </c>
    </row>
    <row r="38" ht="42" customHeight="1">
      <c r="A38" s="23" t="inlineStr">
        <is>
          <t>P1 2026-10-28/g4</t>
        </is>
      </c>
      <c r="B38" s="23" t="inlineStr">
        <is>
          <t>P1</t>
        </is>
      </c>
      <c r="C38" s="23" t="inlineStr">
        <is>
          <t>Coffee and pastries at the Black Diamond Bakery</t>
        </is>
      </c>
      <c r="D38" s="23" t="inlineStr">
        <is>
          <t>e047 Brian O.</t>
        </is>
      </c>
      <c r="E38" s="24" t="n">
        <v>1</v>
      </c>
      <c r="F38" s="23" t="inlineStr">
        <is>
          <t>9am-10:30am</t>
        </is>
      </c>
      <c r="G38" s="23" t="inlineStr">
        <is>
          <t>Coffee and pastries at the Black Diamond Bakery Wednesday 9-10:30am, with 3 other at-home or busy parents who love baking. It's a relaxed post-drop-off break. Low cost. In?</t>
        </is>
      </c>
      <c r="H38" s="23" t="inlineStr">
        <is>
          <t>nothing in the profile conflicts with it</t>
        </is>
      </c>
      <c r="I38" s="24" t="inlineStr">
        <is>
          <t>YES</t>
        </is>
      </c>
      <c r="J38" s="23" t="inlineStr">
        <is>
          <t>-</t>
        </is>
      </c>
      <c r="K38" s="23" t="inlineStr">
        <is>
          <t>Wednesday morning works great for Brian, and he loves baking, so coffee and pastries with neighbors at Black Diamond Bakery sounds perfect. He's in!</t>
        </is>
      </c>
      <c r="L38" s="24" t="inlineStr">
        <is>
          <t>Yes</t>
        </is>
      </c>
      <c r="M38" s="25" t="n"/>
      <c r="N38" s="26" t="inlineStr">
        <is>
          <t>#109 ask, #110 call, #126 reply</t>
        </is>
      </c>
    </row>
    <row r="39" ht="42" customHeight="1">
      <c r="A39" s="23" t="inlineStr">
        <is>
          <t>P1 2026-10-28/g4</t>
        </is>
      </c>
      <c r="B39" s="23" t="inlineStr">
        <is>
          <t>P1</t>
        </is>
      </c>
      <c r="C39" s="23" t="inlineStr">
        <is>
          <t>Coffee and pastries at the Black Diamond Bakery</t>
        </is>
      </c>
      <c r="D39" s="23" t="inlineStr">
        <is>
          <t>e047 Brian O.</t>
        </is>
      </c>
      <c r="E39" s="24" t="n">
        <v>2</v>
      </c>
      <c r="F39" s="23" t="inlineStr">
        <is>
          <t>10:30am-11:30am</t>
        </is>
      </c>
      <c r="G39" s="23" t="inlineStr">
        <is>
          <t>Quick change: Chris asked for a later start, so coffee and pastries at the Black Diamond Bakery would move to 10:30am-11:30am today (Wed 28 Oct). Does the new time still work for Brian?</t>
        </is>
      </c>
      <c r="H39" s="23" t="inlineStr">
        <is>
          <t>nothing in the profile conflicts with it</t>
        </is>
      </c>
      <c r="I39" s="24" t="inlineStr">
        <is>
          <t>YES</t>
        </is>
      </c>
      <c r="J39" s="23" t="inlineStr">
        <is>
          <t>-</t>
        </is>
      </c>
      <c r="K39" s="23" t="inlineStr">
        <is>
          <t>10:30-11:30am Wednesday works great for Brian — he's free that morning and loves bakery treats. Count him in!</t>
        </is>
      </c>
      <c r="L39" s="24" t="inlineStr">
        <is>
          <t>Yes</t>
        </is>
      </c>
      <c r="M39" s="25" t="n"/>
      <c r="N39" s="26" t="inlineStr">
        <is>
          <t>#239 ask, #240 call, #259 reply</t>
        </is>
      </c>
    </row>
    <row r="40" ht="42" customHeight="1">
      <c r="A40" s="23" t="inlineStr">
        <is>
          <t>P1 2026-10-28/g4</t>
        </is>
      </c>
      <c r="B40" s="23" t="inlineStr">
        <is>
          <t>P1</t>
        </is>
      </c>
      <c r="C40" s="23" t="inlineStr">
        <is>
          <t>Coffee and pastries at the Black Diamond Bakery</t>
        </is>
      </c>
      <c r="D40" s="23" t="inlineStr">
        <is>
          <t>e041 Imani O.</t>
        </is>
      </c>
      <c r="E40" s="24" t="n">
        <v>1</v>
      </c>
      <c r="F40" s="23" t="inlineStr">
        <is>
          <t>9am-10:30am</t>
        </is>
      </c>
      <c r="G40" s="23" t="inlineStr">
        <is>
          <t>Wednesday 9-10:30am: coffee at the Black Diamond Bakery with 3 other parents who love a good cup. It's an easy way to meet families nearby. Low cost. Want to come?</t>
        </is>
      </c>
      <c r="H40" s="23" t="inlineStr">
        <is>
          <t>nothing in the profile conflicts with it</t>
        </is>
      </c>
      <c r="I40" s="24" t="inlineStr">
        <is>
          <t>YES</t>
        </is>
      </c>
      <c r="J40" s="23" t="inlineStr">
        <is>
          <t>-</t>
        </is>
      </c>
      <c r="K40" s="23" t="inlineStr">
        <is>
          <t>Wednesday morning works great for Imani — coffee with neighborhood parents at a low cost fits perfectly. Count her in!</t>
        </is>
      </c>
      <c r="L40" s="24" t="inlineStr">
        <is>
          <t>Yes</t>
        </is>
      </c>
      <c r="M40" s="25" t="n"/>
      <c r="N40" s="26" t="inlineStr">
        <is>
          <t>#114 ask, #115 call, #121 reply</t>
        </is>
      </c>
    </row>
    <row r="41" ht="42" customHeight="1">
      <c r="A41" s="23" t="inlineStr">
        <is>
          <t>P1 2026-10-28/g4</t>
        </is>
      </c>
      <c r="B41" s="23" t="inlineStr">
        <is>
          <t>P1</t>
        </is>
      </c>
      <c r="C41" s="23" t="inlineStr">
        <is>
          <t>Coffee and pastries at the Black Diamond Bakery</t>
        </is>
      </c>
      <c r="D41" s="23" t="inlineStr">
        <is>
          <t>e041 Imani O.</t>
        </is>
      </c>
      <c r="E41" s="24" t="n">
        <v>2</v>
      </c>
      <c r="F41" s="23" t="inlineStr">
        <is>
          <t>10:30am-11:30am</t>
        </is>
      </c>
      <c r="G41" s="23" t="inlineStr">
        <is>
          <t>Quick change: Chris asked for a later start, so coffee and pastries at the Black Diamond Bakery would move to 10:30am-11:30am today (Wed 28 Oct). Does the new time still work for Imani?</t>
        </is>
      </c>
      <c r="H41" s="23" t="inlineStr">
        <is>
          <t>nothing in the profile conflicts with it</t>
        </is>
      </c>
      <c r="I41" s="24" t="inlineStr">
        <is>
          <t>YES</t>
        </is>
      </c>
      <c r="J41" s="23" t="inlineStr">
        <is>
          <t>-</t>
        </is>
      </c>
      <c r="K41" s="23" t="inlineStr">
        <is>
          <t>10:30-11:30am Wednesday works great for Imani — free that morning, loves coffee, and it's low-cost and local. Count her in.</t>
        </is>
      </c>
      <c r="L41" s="24" t="inlineStr">
        <is>
          <t>Yes</t>
        </is>
      </c>
      <c r="M41" s="25" t="n"/>
      <c r="N41" s="26" t="inlineStr">
        <is>
          <t>#245 ask, #246 call, #265 reply</t>
        </is>
      </c>
    </row>
    <row r="42" ht="42" customHeight="1">
      <c r="A42" s="23" t="inlineStr">
        <is>
          <t>P1 2026-10-28/g5</t>
        </is>
      </c>
      <c r="B42" s="23" t="inlineStr">
        <is>
          <t>P1</t>
        </is>
      </c>
      <c r="C42" s="23" t="inlineStr">
        <is>
          <t>Birding walk at Lake Sawyer</t>
        </is>
      </c>
      <c r="D42" s="23" t="inlineStr">
        <is>
          <t>e038 Ron B.</t>
        </is>
      </c>
      <c r="E42" s="24" t="n">
        <v>1</v>
      </c>
      <c r="F42" s="23" t="inlineStr">
        <is>
          <t>8am-10am</t>
        </is>
      </c>
      <c r="G42" s="23" t="inlineStr">
        <is>
          <t>A birding walk at Lake Sawyer Regional Park Wednesday 8-10am, with 2 other retirees who are serious about birds. A small, quiet group is ideal for spotting, so bring binoculars and maybe the camera. Free. Join?</t>
        </is>
      </c>
      <c r="H42" s="23" t="inlineStr">
        <is>
          <t>nothing in the profile conflicts with it</t>
        </is>
      </c>
      <c r="I42" s="24" t="inlineStr">
        <is>
          <t>YES</t>
        </is>
      </c>
      <c r="J42" s="23" t="inlineStr">
        <is>
          <t>-</t>
        </is>
      </c>
      <c r="K42" s="23" t="inlineStr">
        <is>
          <t>Ron's free Wednesday morning and loves birding (bonus points for bringing the camera too) — count him in for the Lake Sawyer walk!</t>
        </is>
      </c>
      <c r="L42" s="24" t="inlineStr">
        <is>
          <t>Yes</t>
        </is>
      </c>
      <c r="M42" s="25" t="n"/>
      <c r="N42" s="26" t="inlineStr">
        <is>
          <t>#119 ask, #120 call, #131 reply</t>
        </is>
      </c>
    </row>
    <row r="43" ht="42" customHeight="1">
      <c r="A43" s="23" t="inlineStr">
        <is>
          <t>P1 2026-10-28/g5</t>
        </is>
      </c>
      <c r="B43" s="23" t="inlineStr">
        <is>
          <t>P1</t>
        </is>
      </c>
      <c r="C43" s="23" t="inlineStr">
        <is>
          <t>Birding walk at Lake Sawyer</t>
        </is>
      </c>
      <c r="D43" s="23" t="inlineStr">
        <is>
          <t>e038 Ron B.</t>
        </is>
      </c>
      <c r="E43" s="24" t="n">
        <v>2</v>
      </c>
      <c r="F43" s="23" t="inlineStr">
        <is>
          <t>8am-10am</t>
        </is>
      </c>
      <c r="G43" s="23" t="inlineStr">
        <is>
          <t>Confirmed: birding walk at Lake Sawyer today, Wed 28 Oct, 8am-10am with Noah and Claire.</t>
        </is>
      </c>
      <c r="H43" s="23" t="inlineStr">
        <is>
          <t>nothing in the profile conflicts with it</t>
        </is>
      </c>
      <c r="I43" s="24" t="inlineStr">
        <is>
          <t>YES</t>
        </is>
      </c>
      <c r="J43" s="23" t="inlineStr">
        <is>
          <t>-</t>
        </is>
      </c>
      <c r="K43" s="23" t="inlineStr">
        <is>
          <t>This works great for Ron—Wednesday morning is free, birding is one of his favorite activities, and it's free of charge. He's happy to join Noah and Claire at Lake Sawyer!</t>
        </is>
      </c>
      <c r="L43" s="24" t="inlineStr">
        <is>
          <t>Yes</t>
        </is>
      </c>
      <c r="M43" s="25" t="n"/>
      <c r="N43" s="26" t="inlineStr">
        <is>
          <t>#257 ask, #258 call, #277 reply</t>
        </is>
      </c>
    </row>
    <row r="44" ht="42" customHeight="1">
      <c r="A44" s="23" t="inlineStr">
        <is>
          <t>P1 2026-10-28/g5</t>
        </is>
      </c>
      <c r="B44" s="23" t="inlineStr">
        <is>
          <t>P1</t>
        </is>
      </c>
      <c r="C44" s="23" t="inlineStr">
        <is>
          <t>Birding walk at Lake Sawyer</t>
        </is>
      </c>
      <c r="D44" s="23" t="inlineStr">
        <is>
          <t>e069 Noah P.</t>
        </is>
      </c>
      <c r="E44" s="24" t="n">
        <v>1</v>
      </c>
      <c r="F44" s="23" t="inlineStr">
        <is>
          <t>8am-10am</t>
        </is>
      </c>
      <c r="G44" s="23" t="inlineStr">
        <is>
          <t>Wednesday 8-10am: birding walk at Lake Sawyer Regional Park with 2 other retirees who love birds. One of them also fishes, so there's plenty to talk about by the water. Free. Interested?</t>
        </is>
      </c>
      <c r="H44" s="23" t="inlineStr">
        <is>
          <t>nothing in the profile conflicts with it</t>
        </is>
      </c>
      <c r="I44" s="24" t="inlineStr">
        <is>
          <t>YES</t>
        </is>
      </c>
      <c r="J44" s="23" t="inlineStr">
        <is>
          <t>-</t>
        </is>
      </c>
      <c r="K44" s="23" t="inlineStr">
        <is>
          <t>This fits Noah's free Wednesday morning perfectly, and birding with fellow enthusiasts (one who fishes too) sounds great to him. Count him in!</t>
        </is>
      </c>
      <c r="L44" s="24" t="inlineStr">
        <is>
          <t>Yes</t>
        </is>
      </c>
      <c r="M44" s="25" t="n"/>
      <c r="N44" s="26" t="inlineStr">
        <is>
          <t>#124 ask, #125 call, #146 reply</t>
        </is>
      </c>
    </row>
    <row r="45" ht="42" customHeight="1">
      <c r="A45" s="23" t="inlineStr">
        <is>
          <t>P1 2026-10-28/g5</t>
        </is>
      </c>
      <c r="B45" s="23" t="inlineStr">
        <is>
          <t>P1</t>
        </is>
      </c>
      <c r="C45" s="23" t="inlineStr">
        <is>
          <t>Birding walk at Lake Sawyer</t>
        </is>
      </c>
      <c r="D45" s="23" t="inlineStr">
        <is>
          <t>e069 Noah P.</t>
        </is>
      </c>
      <c r="E45" s="24" t="n">
        <v>2</v>
      </c>
      <c r="F45" s="23" t="inlineStr">
        <is>
          <t>8am-10am</t>
        </is>
      </c>
      <c r="G45" s="23" t="inlineStr">
        <is>
          <t>Confirmed: birding walk at Lake Sawyer today, Wed 28 Oct, 8am-10am with Ron and Claire.</t>
        </is>
      </c>
      <c r="H45" s="23" t="inlineStr">
        <is>
          <t>nothing in the profile conflicts with it</t>
        </is>
      </c>
      <c r="I45" s="24" t="inlineStr">
        <is>
          <t>YES</t>
        </is>
      </c>
      <c r="J45" s="23" t="inlineStr">
        <is>
          <t>-</t>
        </is>
      </c>
      <c r="K45" s="23" t="inlineStr">
        <is>
          <t>This is a great fit—Noah loves birding and is free Wednesday morning. Please confirm him for the 8am-10am walk at Lake Sawyer with Ron and Claire.</t>
        </is>
      </c>
      <c r="L45" s="24" t="inlineStr">
        <is>
          <t>Yes</t>
        </is>
      </c>
      <c r="M45" s="25" t="n"/>
      <c r="N45" s="26" t="inlineStr">
        <is>
          <t>#263 ask, #264 call, #283 reply</t>
        </is>
      </c>
    </row>
    <row r="46" ht="42" customHeight="1">
      <c r="A46" s="23" t="inlineStr">
        <is>
          <t>P1 2026-10-28/g5</t>
        </is>
      </c>
      <c r="B46" s="23" t="inlineStr">
        <is>
          <t>P1</t>
        </is>
      </c>
      <c r="C46" s="23" t="inlineStr">
        <is>
          <t>Birding walk at Lake Sawyer</t>
        </is>
      </c>
      <c r="D46" s="23" t="inlineStr">
        <is>
          <t>e111 Claire B.</t>
        </is>
      </c>
      <c r="E46" s="24" t="n">
        <v>1</v>
      </c>
      <c r="F46" s="23" t="inlineStr">
        <is>
          <t>8am-10am</t>
        </is>
      </c>
      <c r="G46" s="23" t="inlineStr">
        <is>
          <t>Birding walk at Lake Sawyer Regional Park Wednesday 8-10am, with 2 other retired neighbors who love birding. It's a small, unhurried group, and one of them is a cards fan like you. Free. Sound good?</t>
        </is>
      </c>
      <c r="H46" s="23" t="inlineStr">
        <is>
          <t>nothing in the profile conflicts with it</t>
        </is>
      </c>
      <c r="I46" s="24" t="inlineStr">
        <is>
          <t>YES</t>
        </is>
      </c>
      <c r="J46" s="23" t="inlineStr">
        <is>
          <t>-</t>
        </is>
      </c>
      <c r="K46" s="23" t="inlineStr">
        <is>
          <t>This sounds great - Claire loves birding, it's free, and Wednesday morning works perfectly with her schedule. Count her in!</t>
        </is>
      </c>
      <c r="L46" s="24" t="inlineStr">
        <is>
          <t>Yes</t>
        </is>
      </c>
      <c r="M46" s="25" t="n"/>
      <c r="N46" s="26" t="inlineStr">
        <is>
          <t>#129 ask, #130 call, #141 reply</t>
        </is>
      </c>
    </row>
    <row r="47" ht="29" customHeight="1">
      <c r="A47" s="23" t="inlineStr">
        <is>
          <t>P1 2026-10-28/g5</t>
        </is>
      </c>
      <c r="B47" s="23" t="inlineStr">
        <is>
          <t>P1</t>
        </is>
      </c>
      <c r="C47" s="23" t="inlineStr">
        <is>
          <t>Birding walk at Lake Sawyer</t>
        </is>
      </c>
      <c r="D47" s="23" t="inlineStr">
        <is>
          <t>e111 Claire B.</t>
        </is>
      </c>
      <c r="E47" s="24" t="n">
        <v>2</v>
      </c>
      <c r="F47" s="23" t="inlineStr">
        <is>
          <t>8am-10am</t>
        </is>
      </c>
      <c r="G47" s="23" t="inlineStr">
        <is>
          <t>Confirmed: birding walk at Lake Sawyer today, Wed 28 Oct, 8am-10am with Ron and Noah.</t>
        </is>
      </c>
      <c r="H47" s="23" t="inlineStr">
        <is>
          <t>nothing in the profile conflicts with it</t>
        </is>
      </c>
      <c r="I47" s="24" t="inlineStr">
        <is>
          <t>YES</t>
        </is>
      </c>
      <c r="J47" s="23" t="inlineStr">
        <is>
          <t>-</t>
        </is>
      </c>
      <c r="K47" s="23" t="inlineStr">
        <is>
          <t>Claire's free Wednesday morning and loves birding plus it's free — this is a great fit, confirmed!</t>
        </is>
      </c>
      <c r="L47" s="24" t="inlineStr">
        <is>
          <t>Yes</t>
        </is>
      </c>
      <c r="M47" s="25" t="n"/>
      <c r="N47" s="26" t="inlineStr">
        <is>
          <t>#269 ask, #270 call, #289 reply</t>
        </is>
      </c>
    </row>
    <row r="48" ht="42" customHeight="1">
      <c r="A48" s="23" t="inlineStr">
        <is>
          <t>P1 2026-10-28/g6</t>
        </is>
      </c>
      <c r="B48" s="23" t="inlineStr">
        <is>
          <t>P1</t>
        </is>
      </c>
      <c r="C48" s="23" t="inlineStr">
        <is>
          <t>Franklin ghost town hike</t>
        </is>
      </c>
      <c r="D48" s="23" t="inlineStr">
        <is>
          <t>e124 Wei T.</t>
        </is>
      </c>
      <c r="E48" s="24" t="n">
        <v>1</v>
      </c>
      <c r="F48" s="23" t="inlineStr">
        <is>
          <t>1pm-4pm</t>
        </is>
      </c>
      <c r="G48" s="23" t="inlineStr">
        <is>
          <t>Franklin ghost town hike Wednesday 1-4pm off Green River Gorge Rd, with 4 other neighbors. The old ruins are great for photos, and you'll be back before evening. Free. Want in?</t>
        </is>
      </c>
      <c r="H48" s="23" t="inlineStr">
        <is>
          <t>nothing in the profile conflicts with it</t>
        </is>
      </c>
      <c r="I48" s="24" t="inlineStr">
        <is>
          <t>YES</t>
        </is>
      </c>
      <c r="J48" s="23" t="inlineStr">
        <is>
          <t>-</t>
        </is>
      </c>
      <c r="K48" s="23" t="inlineStr">
        <is>
          <t>Wednesday 1-4pm works perfectly for Wei's free afternoon — hiking and photography are both loved activities, it's free, and a small group of neighbors isn't the crowded scene Wei avoids. Count Wei in!</t>
        </is>
      </c>
      <c r="L48" s="24" t="inlineStr">
        <is>
          <t>Yes</t>
        </is>
      </c>
      <c r="M48" s="25" t="n"/>
      <c r="N48" s="26" t="inlineStr">
        <is>
          <t>#134 ask, #135 call, #151 reply</t>
        </is>
      </c>
    </row>
    <row r="49" ht="42" customHeight="1">
      <c r="A49" s="23" t="inlineStr">
        <is>
          <t>P1 2026-10-28/g6</t>
        </is>
      </c>
      <c r="B49" s="23" t="inlineStr">
        <is>
          <t>P1</t>
        </is>
      </c>
      <c r="C49" s="23" t="inlineStr">
        <is>
          <t>Franklin ghost town hike</t>
        </is>
      </c>
      <c r="D49" s="23" t="inlineStr">
        <is>
          <t>e124 Wei T.</t>
        </is>
      </c>
      <c r="E49" s="24" t="n">
        <v>2</v>
      </c>
      <c r="F49" s="23" t="inlineStr">
        <is>
          <t>1pm-4pm</t>
        </is>
      </c>
      <c r="G49" s="23" t="inlineStr">
        <is>
          <t>Confirmed: Franklin ghost town hike today, Wed 28 Oct, 1pm-4pm with Carlos, Ryan, Grace and Josh.</t>
        </is>
      </c>
      <c r="H49" s="23" t="inlineStr">
        <is>
          <t>nothing in the profile conflicts with it</t>
        </is>
      </c>
      <c r="I49" s="24" t="inlineStr">
        <is>
          <t>YES</t>
        </is>
      </c>
      <c r="J49" s="23" t="inlineStr">
        <is>
          <t>-</t>
        </is>
      </c>
      <c r="K49" s="23" t="inlineStr">
        <is>
          <t>Wednesday afternoon works great for Wei—hiking is a favorite, it's free, and a small neighbor group sounds low-key and not crowded. Count Wei in for the Franklin ghost town hike!</t>
        </is>
      </c>
      <c r="L49" s="24" t="inlineStr">
        <is>
          <t>Yes</t>
        </is>
      </c>
      <c r="M49" s="25" t="n"/>
      <c r="N49" s="26" t="inlineStr">
        <is>
          <t>#275 ask, #276 call, #301 reply</t>
        </is>
      </c>
    </row>
    <row r="50" ht="42" customHeight="1">
      <c r="A50" s="23" t="inlineStr">
        <is>
          <t>P1 2026-10-28/g6</t>
        </is>
      </c>
      <c r="B50" s="23" t="inlineStr">
        <is>
          <t>P1</t>
        </is>
      </c>
      <c r="C50" s="23" t="inlineStr">
        <is>
          <t>Franklin ghost town hike</t>
        </is>
      </c>
      <c r="D50" s="23" t="inlineStr">
        <is>
          <t>e143 Carlos T.</t>
        </is>
      </c>
      <c r="E50" s="24" t="n">
        <v>1</v>
      </c>
      <c r="F50" s="23" t="inlineStr">
        <is>
          <t>1pm-4pm</t>
        </is>
      </c>
      <c r="G50" s="23" t="inlineStr">
        <is>
          <t>Wednesday 1-4pm: a hike to the Franklin ghost town with 4 other neighbors, including a fellow history buff. You get the trail and the mining history in one outing. Free. Join?</t>
        </is>
      </c>
      <c r="H50" s="23" t="inlineStr">
        <is>
          <t>nothing in the profile conflicts with it</t>
        </is>
      </c>
      <c r="I50" s="24" t="inlineStr">
        <is>
          <t>YES</t>
        </is>
      </c>
      <c r="J50" s="23" t="inlineStr">
        <is>
          <t>-</t>
        </is>
      </c>
      <c r="K50" s="23" t="inlineStr">
        <is>
          <t>Carlos is free Wednesday afternoon and this sounds perfect—hiking, history, and a small neighbor group with a fellow history buff. Count him in!</t>
        </is>
      </c>
      <c r="L50" s="24" t="inlineStr">
        <is>
          <t>Yes</t>
        </is>
      </c>
      <c r="M50" s="25" t="n"/>
      <c r="N50" s="26" t="inlineStr">
        <is>
          <t>#139 ask, #140 call, #156 reply</t>
        </is>
      </c>
    </row>
    <row r="51" ht="42" customHeight="1">
      <c r="A51" s="23" t="inlineStr">
        <is>
          <t>P1 2026-10-28/g6</t>
        </is>
      </c>
      <c r="B51" s="23" t="inlineStr">
        <is>
          <t>P1</t>
        </is>
      </c>
      <c r="C51" s="23" t="inlineStr">
        <is>
          <t>Franklin ghost town hike</t>
        </is>
      </c>
      <c r="D51" s="23" t="inlineStr">
        <is>
          <t>e143 Carlos T.</t>
        </is>
      </c>
      <c r="E51" s="24" t="n">
        <v>2</v>
      </c>
      <c r="F51" s="23" t="inlineStr">
        <is>
          <t>1pm-4pm</t>
        </is>
      </c>
      <c r="G51" s="23" t="inlineStr">
        <is>
          <t>Confirmed: Franklin ghost town hike today, Wed 28 Oct, 1pm-4pm with Wei, Ryan, Grace and Josh.</t>
        </is>
      </c>
      <c r="H51" s="23" t="inlineStr">
        <is>
          <t>nothing in the profile conflicts with it</t>
        </is>
      </c>
      <c r="I51" s="24" t="inlineStr">
        <is>
          <t>YES</t>
        </is>
      </c>
      <c r="J51" s="23" t="inlineStr">
        <is>
          <t>-</t>
        </is>
      </c>
      <c r="K51" s="23" t="inlineStr">
        <is>
          <t>This works well for Carlos—Wednesday afternoon is free, hiking fits his interests, and a ghost town trail has a nice historical angle too. Count him in.</t>
        </is>
      </c>
      <c r="L51" s="24" t="inlineStr">
        <is>
          <t>Yes</t>
        </is>
      </c>
      <c r="M51" s="25" t="n"/>
      <c r="N51" s="26" t="inlineStr">
        <is>
          <t>#281 ask, #282 call, #295 reply</t>
        </is>
      </c>
    </row>
    <row r="52" ht="42" customHeight="1">
      <c r="A52" s="23" t="inlineStr">
        <is>
          <t>P1 2026-10-28/g6</t>
        </is>
      </c>
      <c r="B52" s="23" t="inlineStr">
        <is>
          <t>P1</t>
        </is>
      </c>
      <c r="C52" s="23" t="inlineStr">
        <is>
          <t>Franklin ghost town hike</t>
        </is>
      </c>
      <c r="D52" s="23" t="inlineStr">
        <is>
          <t>e055 Ryan M.</t>
        </is>
      </c>
      <c r="E52" s="24" t="n">
        <v>1</v>
      </c>
      <c r="F52" s="23" t="inlineStr">
        <is>
          <t>1pm-4pm</t>
        </is>
      </c>
      <c r="G52" s="23" t="inlineStr">
        <is>
          <t>A Franklin ghost town hike Wednesday 1-4pm with 4 other neighbors, a couple of them keen on local history like you. It's a steady pace, with plenty of stops at the old town remains. Free. Interested?</t>
        </is>
      </c>
      <c r="H52" s="23" t="inlineStr">
        <is>
          <t>nothing in the profile conflicts with it</t>
        </is>
      </c>
      <c r="I52" s="24" t="inlineStr">
        <is>
          <t>YES</t>
        </is>
      </c>
      <c r="J52" s="23" t="inlineStr">
        <is>
          <t>-</t>
        </is>
      </c>
      <c r="K52" s="23" t="inlineStr">
        <is>
          <t>Ryan's free Wednesday afternoon and loves history, so a free ghost town hike with history-minded neighbors sounds perfect. He's in!</t>
        </is>
      </c>
      <c r="L52" s="24" t="inlineStr">
        <is>
          <t>Yes</t>
        </is>
      </c>
      <c r="M52" s="25" t="n"/>
      <c r="N52" s="26" t="inlineStr">
        <is>
          <t>#144 ask, #145 call, #159 reply</t>
        </is>
      </c>
    </row>
    <row r="53" ht="29" customHeight="1">
      <c r="A53" s="23" t="inlineStr">
        <is>
          <t>P1 2026-10-28/g6</t>
        </is>
      </c>
      <c r="B53" s="23" t="inlineStr">
        <is>
          <t>P1</t>
        </is>
      </c>
      <c r="C53" s="23" t="inlineStr">
        <is>
          <t>Franklin ghost town hike</t>
        </is>
      </c>
      <c r="D53" s="23" t="inlineStr">
        <is>
          <t>e055 Ryan M.</t>
        </is>
      </c>
      <c r="E53" s="24" t="n">
        <v>2</v>
      </c>
      <c r="F53" s="23" t="inlineStr">
        <is>
          <t>1pm-4pm</t>
        </is>
      </c>
      <c r="G53" s="23" t="inlineStr">
        <is>
          <t>Confirmed: Franklin ghost town hike today, Wed 28 Oct, 1pm-4pm with Wei, Carlos, Grace and Josh.</t>
        </is>
      </c>
      <c r="H53" s="23" t="inlineStr">
        <is>
          <t>nothing in the profile conflicts with it</t>
        </is>
      </c>
      <c r="I53" s="24" t="inlineStr">
        <is>
          <t>YES</t>
        </is>
      </c>
      <c r="J53" s="23" t="inlineStr">
        <is>
          <t>-</t>
        </is>
      </c>
      <c r="K53" s="23" t="inlineStr">
        <is>
          <t>Ryan's free Wednesday afternoon and loves history, so a ghost town hike with neighbors fits well—count him in.</t>
        </is>
      </c>
      <c r="L53" s="24" t="inlineStr">
        <is>
          <t>Yes</t>
        </is>
      </c>
      <c r="M53" s="25" t="n"/>
      <c r="N53" s="26" t="inlineStr">
        <is>
          <t>#287 ask, #288 call, #311 reply</t>
        </is>
      </c>
    </row>
    <row r="54" ht="29" customHeight="1">
      <c r="A54" s="23" t="inlineStr">
        <is>
          <t>P1 2026-10-28/g6</t>
        </is>
      </c>
      <c r="B54" s="23" t="inlineStr">
        <is>
          <t>P1</t>
        </is>
      </c>
      <c r="C54" s="23" t="inlineStr">
        <is>
          <t>Franklin ghost town hike</t>
        </is>
      </c>
      <c r="D54" s="23" t="inlineStr">
        <is>
          <t>e148 Grace C.</t>
        </is>
      </c>
      <c r="E54" s="24" t="n">
        <v>1</v>
      </c>
      <c r="F54" s="23" t="inlineStr">
        <is>
          <t>1pm-4pm</t>
        </is>
      </c>
      <c r="G54" s="23" t="inlineStr">
        <is>
          <t>Wednesday 1-4pm: hike the Franklin ghost town trail off Green River Gorge Rd with 4 other hikers. A few of them are sports fans too. Free. In?</t>
        </is>
      </c>
      <c r="H54" s="23" t="inlineStr">
        <is>
          <t>nothing in the profile conflicts with it</t>
        </is>
      </c>
      <c r="I54" s="24" t="inlineStr">
        <is>
          <t>YES</t>
        </is>
      </c>
      <c r="J54" s="23" t="inlineStr">
        <is>
          <t>-</t>
        </is>
      </c>
      <c r="K54" s="23" t="inlineStr">
        <is>
          <t>Wednesday afternoon works great for Grace—free hike, no cost, and a group that likes sports too? Count her in!</t>
        </is>
      </c>
      <c r="L54" s="24" t="inlineStr">
        <is>
          <t>Yes</t>
        </is>
      </c>
      <c r="M54" s="25" t="n"/>
      <c r="N54" s="26" t="inlineStr">
        <is>
          <t>#149 ask, #150 call, #162 reply</t>
        </is>
      </c>
    </row>
    <row r="55" ht="29" customHeight="1">
      <c r="A55" s="23" t="inlineStr">
        <is>
          <t>P1 2026-10-28/g6</t>
        </is>
      </c>
      <c r="B55" s="23" t="inlineStr">
        <is>
          <t>P1</t>
        </is>
      </c>
      <c r="C55" s="23" t="inlineStr">
        <is>
          <t>Franklin ghost town hike</t>
        </is>
      </c>
      <c r="D55" s="23" t="inlineStr">
        <is>
          <t>e148 Grace C.</t>
        </is>
      </c>
      <c r="E55" s="24" t="n">
        <v>2</v>
      </c>
      <c r="F55" s="23" t="inlineStr">
        <is>
          <t>1pm-4pm</t>
        </is>
      </c>
      <c r="G55" s="23" t="inlineStr">
        <is>
          <t>Confirmed: Franklin ghost town hike today, Wed 28 Oct, 1pm-4pm with Wei, Carlos, Ryan and Josh.</t>
        </is>
      </c>
      <c r="H55" s="23" t="inlineStr">
        <is>
          <t>nothing in the profile conflicts with it</t>
        </is>
      </c>
      <c r="I55" s="24" t="inlineStr">
        <is>
          <t>YES</t>
        </is>
      </c>
      <c r="J55" s="23" t="inlineStr">
        <is>
          <t>-</t>
        </is>
      </c>
      <c r="K55" s="23" t="inlineStr">
        <is>
          <t>Grace is free Wednesday afternoon and loves hiking - a free group hike fits perfectly. She's in for the Franklin ghost town hike!</t>
        </is>
      </c>
      <c r="L55" s="24" t="inlineStr">
        <is>
          <t>Yes</t>
        </is>
      </c>
      <c r="M55" s="25" t="n"/>
      <c r="N55" s="26" t="inlineStr">
        <is>
          <t>#293 ask, #294 call, #305 reply</t>
        </is>
      </c>
    </row>
    <row r="56" ht="42" customHeight="1">
      <c r="A56" s="23" t="inlineStr">
        <is>
          <t>P1 2026-10-28/g6</t>
        </is>
      </c>
      <c r="B56" s="23" t="inlineStr">
        <is>
          <t>P1</t>
        </is>
      </c>
      <c r="C56" s="23" t="inlineStr">
        <is>
          <t>Franklin ghost town hike</t>
        </is>
      </c>
      <c r="D56" s="23" t="inlineStr">
        <is>
          <t>e105 Josh L.</t>
        </is>
      </c>
      <c r="E56" s="24" t="n">
        <v>1</v>
      </c>
      <c r="F56" s="23" t="inlineStr">
        <is>
          <t>1pm-4pm</t>
        </is>
      </c>
      <c r="G56" s="23" t="inlineStr">
        <is>
          <t>Franklin ghost town hike Wednesday 1-4pm with 4 other neighbors who love hiking. It's a good afternoon out on a shift-work day off. Free. Sound good?</t>
        </is>
      </c>
      <c r="H56" s="23" t="inlineStr">
        <is>
          <t>nothing in the profile conflicts with it</t>
        </is>
      </c>
      <c r="I56" s="24" t="inlineStr">
        <is>
          <t>YES</t>
        </is>
      </c>
      <c r="J56" s="23" t="inlineStr">
        <is>
          <t>-</t>
        </is>
      </c>
      <c r="K56" s="23" t="inlineStr">
        <is>
          <t>Josh is free Wednesday afternoon and loves hiking, so the Franklin ghost town hike 1-4pm works great, especially free. Count him in!</t>
        </is>
      </c>
      <c r="L56" s="24" t="inlineStr">
        <is>
          <t>Yes</t>
        </is>
      </c>
      <c r="M56" s="25" t="n"/>
      <c r="N56" s="26" t="inlineStr">
        <is>
          <t>#154 ask, #155 call, #165 reply</t>
        </is>
      </c>
    </row>
    <row r="57" ht="29" customHeight="1">
      <c r="A57" s="23" t="inlineStr">
        <is>
          <t>P1 2026-10-28/g6</t>
        </is>
      </c>
      <c r="B57" s="23" t="inlineStr">
        <is>
          <t>P1</t>
        </is>
      </c>
      <c r="C57" s="23" t="inlineStr">
        <is>
          <t>Franklin ghost town hike</t>
        </is>
      </c>
      <c r="D57" s="23" t="inlineStr">
        <is>
          <t>e105 Josh L.</t>
        </is>
      </c>
      <c r="E57" s="24" t="n">
        <v>2</v>
      </c>
      <c r="F57" s="23" t="inlineStr">
        <is>
          <t>1pm-4pm</t>
        </is>
      </c>
      <c r="G57" s="23" t="inlineStr">
        <is>
          <t>Confirmed: Franklin ghost town hike today, Wed 28 Oct, 1pm-4pm with Wei, Carlos, Ryan and Grace.</t>
        </is>
      </c>
      <c r="H57" s="23" t="inlineStr">
        <is>
          <t>nothing in the profile conflicts with it</t>
        </is>
      </c>
      <c r="I57" s="24" t="inlineStr">
        <is>
          <t>YES</t>
        </is>
      </c>
      <c r="J57" s="23" t="inlineStr">
        <is>
          <t>-</t>
        </is>
      </c>
      <c r="K57" s="23" t="inlineStr">
        <is>
          <t>Hiking Wednesday afternoon works great for Josh, he's free then and loves hiking. Free cost is a plus too — he's in!</t>
        </is>
      </c>
      <c r="L57" s="24" t="inlineStr">
        <is>
          <t>Yes</t>
        </is>
      </c>
      <c r="M57" s="25" t="n"/>
      <c r="N57" s="26" t="inlineStr">
        <is>
          <t>#299 ask, #300 call, #308 reply</t>
        </is>
      </c>
    </row>
    <row r="58" ht="42" customHeight="1">
      <c r="A58" s="23" t="inlineStr">
        <is>
          <t>P1 2026-10-31/g1</t>
        </is>
      </c>
      <c r="B58" s="23" t="inlineStr">
        <is>
          <t>P1</t>
        </is>
      </c>
      <c r="C58" s="23" t="inlineStr">
        <is>
          <t>Pickleball doubles</t>
        </is>
      </c>
      <c r="D58" s="23" t="inlineStr">
        <is>
          <t>e081 Andres T.</t>
        </is>
      </c>
      <c r="E58" s="24" t="n">
        <v>1</v>
      </c>
      <c r="F58" s="23" t="inlineStr">
        <is>
          <t>9am-10:30am</t>
        </is>
      </c>
      <c r="G58" s="23" t="inlineStr">
        <is>
          <t>Saturday 9-10:30am: pickleball at the public courts in Maple Valley with 2 other neighbors who love the game as much as you do. It's a relaxed rotation of doubles to start your weekend on the court. Want in?</t>
        </is>
      </c>
      <c r="H58" s="23" t="inlineStr">
        <is>
          <t>nothing in the profile conflicts with it</t>
        </is>
      </c>
      <c r="I58" s="24" t="inlineStr">
        <is>
          <t>YES</t>
        </is>
      </c>
      <c r="J58" s="23" t="inlineStr">
        <is>
          <t>-</t>
        </is>
      </c>
      <c r="K58" s="23" t="inlineStr">
        <is>
          <t>Saturday morning works great for Andres — he's free then and pickleball is one of his favorite activities. Count him in for doubles at Maple Valley!</t>
        </is>
      </c>
      <c r="L58" s="24" t="inlineStr">
        <is>
          <t>Yes</t>
        </is>
      </c>
      <c r="M58" s="25" t="n"/>
      <c r="N58" s="26" t="inlineStr">
        <is>
          <t>#355 ask, #356 call, #368 reply</t>
        </is>
      </c>
    </row>
    <row r="59" ht="42" customHeight="1">
      <c r="A59" s="23" t="inlineStr">
        <is>
          <t>P1 2026-10-31/g1</t>
        </is>
      </c>
      <c r="B59" s="23" t="inlineStr">
        <is>
          <t>P1</t>
        </is>
      </c>
      <c r="C59" s="23" t="inlineStr">
        <is>
          <t>Pickleball doubles</t>
        </is>
      </c>
      <c r="D59" s="23" t="inlineStr">
        <is>
          <t>e078 Kevin N.</t>
        </is>
      </c>
      <c r="E59" s="24" t="n">
        <v>1</v>
      </c>
      <c r="F59" s="23" t="inlineStr">
        <is>
          <t>9am-10:30am</t>
        </is>
      </c>
      <c r="G59" s="23" t="inlineStr">
        <is>
          <t>Saturday 9-10:30am: pickleball at the Maple Valley public courts with 2 other pickleball-loving neighbors. You'll rotate through doubles, and there's a good chance of baseball talk between games. Interested?</t>
        </is>
      </c>
      <c r="H59" s="23" t="inlineStr">
        <is>
          <t>nothing in the profile conflicts with it</t>
        </is>
      </c>
      <c r="I59" s="24" t="inlineStr">
        <is>
          <t>YES</t>
        </is>
      </c>
      <c r="J59" s="23" t="inlineStr">
        <is>
          <t>-</t>
        </is>
      </c>
      <c r="K59" s="23" t="inlineStr">
        <is>
          <t>Saturday 9-10:30am pickleball in Maple Valley works great for Kevin—he's free that morning, loves pickleball, it's free, and bonus baseball chat sounds perfect. Count him in!</t>
        </is>
      </c>
      <c r="L59" s="24" t="inlineStr">
        <is>
          <t>Yes</t>
        </is>
      </c>
      <c r="M59" s="25" t="n"/>
      <c r="N59" s="26" t="inlineStr">
        <is>
          <t>#357 ask, #358 call, #373 reply</t>
        </is>
      </c>
    </row>
    <row r="60" ht="42" customHeight="1">
      <c r="A60" s="23" t="inlineStr">
        <is>
          <t>P1 2026-10-31/g1</t>
        </is>
      </c>
      <c r="B60" s="23" t="inlineStr">
        <is>
          <t>P1</t>
        </is>
      </c>
      <c r="C60" s="23" t="inlineStr">
        <is>
          <t>Pickleball doubles</t>
        </is>
      </c>
      <c r="D60" s="23" t="inlineStr">
        <is>
          <t>e043 Quinn J.</t>
        </is>
      </c>
      <c r="E60" s="24" t="n">
        <v>1</v>
      </c>
      <c r="F60" s="23" t="inlineStr">
        <is>
          <t>9am-10:30am</t>
        </is>
      </c>
      <c r="G60" s="23" t="inlineStr">
        <is>
          <t>Saturday 9-10:30am: pickleball at the Maple Valley public courts with 2 neighbors who rate it as highly as you do. Easy rotating doubles, plus fellow baseball fans. Sound good?</t>
        </is>
      </c>
      <c r="H60" s="23" t="inlineStr">
        <is>
          <t>nothing in the profile conflicts with it</t>
        </is>
      </c>
      <c r="I60" s="24" t="inlineStr">
        <is>
          <t>YES</t>
        </is>
      </c>
      <c r="J60" s="23" t="inlineStr">
        <is>
          <t>-</t>
        </is>
      </c>
      <c r="K60" s="23" t="inlineStr">
        <is>
          <t>Saturday 9-10:30am pickleball at Maple Valley courts works great for Quinn—free, morning works, and pickleball's a top love. Count them in!</t>
        </is>
      </c>
      <c r="L60" s="24" t="inlineStr">
        <is>
          <t>Yes</t>
        </is>
      </c>
      <c r="M60" s="25" t="n"/>
      <c r="N60" s="26" t="inlineStr">
        <is>
          <t>#359 ask, #360 call, #378 reply</t>
        </is>
      </c>
    </row>
    <row r="61" ht="42" customHeight="1">
      <c r="A61" s="23" t="inlineStr">
        <is>
          <t>P1 2026-10-31/g2</t>
        </is>
      </c>
      <c r="B61" s="23" t="inlineStr">
        <is>
          <t>P1</t>
        </is>
      </c>
      <c r="C61" s="23" t="inlineStr">
        <is>
          <t>Easy 5K together</t>
        </is>
      </c>
      <c r="D61" s="23" t="inlineStr">
        <is>
          <t>e088 Hannah R.</t>
        </is>
      </c>
      <c r="E61" s="24" t="n">
        <v>1</v>
      </c>
      <c r="F61" s="23" t="inlineStr">
        <is>
          <t>8am-9am</t>
        </is>
      </c>
      <c r="G61" s="23" t="inlineStr">
        <is>
          <t>Saturday 8-9am: an easy 5K on the Ten Trails paths with 2 other neighbors who love running. It's conversational pace, and coffee afterward is a natural next step. Join?</t>
        </is>
      </c>
      <c r="H61" s="23" t="inlineStr">
        <is>
          <t>nothing in the profile conflicts with it</t>
        </is>
      </c>
      <c r="I61" s="24" t="inlineStr">
        <is>
          <t>YES</t>
        </is>
      </c>
      <c r="J61" s="23" t="inlineStr">
        <is>
          <t>-</t>
        </is>
      </c>
      <c r="K61" s="23" t="inlineStr">
        <is>
          <t>Saturday 8-9am works great for Hannah—she loves running, and coffee after is a perfect bonus. Count her in!</t>
        </is>
      </c>
      <c r="L61" s="24" t="inlineStr">
        <is>
          <t>Yes</t>
        </is>
      </c>
      <c r="M61" s="25" t="n"/>
      <c r="N61" s="26" t="inlineStr">
        <is>
          <t>#361 ask, #362 call, #363 reply</t>
        </is>
      </c>
    </row>
    <row r="62" ht="42" customHeight="1">
      <c r="A62" s="23" t="inlineStr">
        <is>
          <t>P1 2026-10-31/g2</t>
        </is>
      </c>
      <c r="B62" s="23" t="inlineStr">
        <is>
          <t>P1</t>
        </is>
      </c>
      <c r="C62" s="23" t="inlineStr">
        <is>
          <t>Easy 5K together</t>
        </is>
      </c>
      <c r="D62" s="23" t="inlineStr">
        <is>
          <t>e170 Kavya T.</t>
        </is>
      </c>
      <c r="E62" s="24" t="n">
        <v>1</v>
      </c>
      <c r="F62" s="23" t="inlineStr">
        <is>
          <t>8am-9am</t>
        </is>
      </c>
      <c r="G62" s="23" t="inlineStr">
        <is>
          <t>Saturday 8-9am: an easy 5K on the Ten Trails network with 2 fellow running neighbors. It's low-pressure, social pace, a nice way to meet people before the weekend gets busy. In?</t>
        </is>
      </c>
      <c r="H62" s="23" t="inlineStr">
        <is>
          <t>nothing in the profile conflicts with it</t>
        </is>
      </c>
      <c r="I62" s="24" t="inlineStr">
        <is>
          <t>YES</t>
        </is>
      </c>
      <c r="J62" s="23" t="inlineStr">
        <is>
          <t>-</t>
        </is>
      </c>
      <c r="K62" s="23" t="inlineStr">
        <is>
          <t>Saturday 8-9am works great for Kavya - she's free that morning, loves running, and a free, low-pressure 5K with neighbors sounds perfect. She's in!</t>
        </is>
      </c>
      <c r="L62" s="24" t="inlineStr">
        <is>
          <t>Yes</t>
        </is>
      </c>
      <c r="M62" s="25" t="n"/>
      <c r="N62" s="26" t="inlineStr">
        <is>
          <t>#366 ask, #367 call, #388 reply</t>
        </is>
      </c>
    </row>
    <row r="63" ht="29" customHeight="1">
      <c r="A63" s="23" t="inlineStr">
        <is>
          <t>P1 2026-10-31/g2</t>
        </is>
      </c>
      <c r="B63" s="23" t="inlineStr">
        <is>
          <t>P1</t>
        </is>
      </c>
      <c r="C63" s="23" t="inlineStr">
        <is>
          <t>Easy 5K together</t>
        </is>
      </c>
      <c r="D63" s="23" t="inlineStr">
        <is>
          <t>e123 Rachel P.</t>
        </is>
      </c>
      <c r="E63" s="24" t="n">
        <v>1</v>
      </c>
      <c r="F63" s="23" t="inlineStr">
        <is>
          <t>8am-9am</t>
        </is>
      </c>
      <c r="G63" s="23" t="inlineStr">
        <is>
          <t>Saturday 8-9am: a relaxed 5K at Ten Trails with 2 other runners from the neighborhood. It's an easy pace with plenty of chat. Want to come?</t>
        </is>
      </c>
      <c r="H63" s="23" t="inlineStr">
        <is>
          <t>nothing in the profile conflicts with it</t>
        </is>
      </c>
      <c r="I63" s="24" t="inlineStr">
        <is>
          <t>YES</t>
        </is>
      </c>
      <c r="J63" s="23" t="inlineStr">
        <is>
          <t>-</t>
        </is>
      </c>
      <c r="K63" s="23" t="inlineStr">
        <is>
          <t>Rachel's free Saturday morning and loves running, so an easy 5K with neighbors at Ten Trails sounds great — count her in!</t>
        </is>
      </c>
      <c r="L63" s="24" t="inlineStr">
        <is>
          <t>Yes</t>
        </is>
      </c>
      <c r="M63" s="25" t="n"/>
      <c r="N63" s="26" t="inlineStr">
        <is>
          <t>#371 ask, #372 call, #393 reply</t>
        </is>
      </c>
    </row>
    <row r="64" ht="55" customHeight="1">
      <c r="A64" s="23" t="inlineStr">
        <is>
          <t>P1 2026-10-31/g3</t>
        </is>
      </c>
      <c r="B64" s="23" t="inlineStr">
        <is>
          <t>P1</t>
        </is>
      </c>
      <c r="C64" s="23" t="inlineStr">
        <is>
          <t>Franklin ghost town hike</t>
        </is>
      </c>
      <c r="D64" s="23" t="inlineStr">
        <is>
          <t>e143 Carlos T.</t>
        </is>
      </c>
      <c r="E64" s="24" t="n">
        <v>1</v>
      </c>
      <c r="F64" s="23" t="inlineStr">
        <is>
          <t>1pm-4pm</t>
        </is>
      </c>
      <c r="G64" s="23" t="inlineStr">
        <is>
          <t>Saturday 1-4pm: a hike to the Franklin ghost town off Green River Gorge Rd with 4 neighbors. It's a great mix of hiking and local mining history, and others in the group share your love of birding and books. Interested?</t>
        </is>
      </c>
      <c r="H64" s="23" t="inlineStr">
        <is>
          <t>nothing in the profile conflicts with it</t>
        </is>
      </c>
      <c r="I64" s="24" t="inlineStr">
        <is>
          <t>YES</t>
        </is>
      </c>
      <c r="J64" s="23" t="inlineStr">
        <is>
          <t>-</t>
        </is>
      </c>
      <c r="K64" s="23" t="inlineStr">
        <is>
          <t>This sounds perfect for Carlos — Saturday afternoon is free, he loves hiking and history, and a ghost town hike fits right in. Count him in!</t>
        </is>
      </c>
      <c r="L64" s="24" t="inlineStr">
        <is>
          <t>Yes</t>
        </is>
      </c>
      <c r="M64" s="25" t="n"/>
      <c r="N64" s="26" t="inlineStr">
        <is>
          <t>#376 ask, #377 call, #383 reply</t>
        </is>
      </c>
    </row>
    <row r="65" ht="42" customHeight="1">
      <c r="A65" s="23" t="inlineStr">
        <is>
          <t>P1 2026-10-31/g3</t>
        </is>
      </c>
      <c r="B65" s="23" t="inlineStr">
        <is>
          <t>P1</t>
        </is>
      </c>
      <c r="C65" s="23" t="inlineStr">
        <is>
          <t>Franklin ghost town hike</t>
        </is>
      </c>
      <c r="D65" s="23" t="inlineStr">
        <is>
          <t>e124 Wei T.</t>
        </is>
      </c>
      <c r="E65" s="24" t="n">
        <v>1</v>
      </c>
      <c r="F65" s="23" t="inlineStr">
        <is>
          <t>1pm-4pm</t>
        </is>
      </c>
      <c r="G65" s="23" t="inlineStr">
        <is>
          <t>Saturday 1-4pm: a hike to the Franklin ghost town with 4 neighbors. The old ruins in the forest are great for photography, and another parent at home is coming along. Want to join?</t>
        </is>
      </c>
      <c r="H65" s="23" t="inlineStr">
        <is>
          <t>nothing in the profile conflicts with it</t>
        </is>
      </c>
      <c r="I65" s="24" t="inlineStr">
        <is>
          <t>YES</t>
        </is>
      </c>
      <c r="J65" s="23" t="inlineStr">
        <is>
          <t>-</t>
        </is>
      </c>
      <c r="K65" s="23" t="inlineStr">
        <is>
          <t>This fits well - hiking and photography are both things Wei loves, it's free, and Saturday afternoon is open. A small group of neighbors (not a big crowd) sounds comfortable too, so count Wei in.</t>
        </is>
      </c>
      <c r="L65" s="24" t="inlineStr">
        <is>
          <t>Yes</t>
        </is>
      </c>
      <c r="M65" s="25" t="n"/>
      <c r="N65" s="26" t="inlineStr">
        <is>
          <t>#381 ask, #382 call, #398 reply</t>
        </is>
      </c>
    </row>
    <row r="66" ht="42" customHeight="1">
      <c r="A66" s="23" t="inlineStr">
        <is>
          <t>P1 2026-10-31/g3</t>
        </is>
      </c>
      <c r="B66" s="23" t="inlineStr">
        <is>
          <t>P1</t>
        </is>
      </c>
      <c r="C66" s="23" t="inlineStr">
        <is>
          <t>Franklin ghost town hike</t>
        </is>
      </c>
      <c r="D66" s="23" t="inlineStr">
        <is>
          <t>e055 Ryan M.</t>
        </is>
      </c>
      <c r="E66" s="24" t="n">
        <v>1</v>
      </c>
      <c r="F66" s="23" t="inlineStr">
        <is>
          <t>1pm-4pm</t>
        </is>
      </c>
      <c r="G66" s="23" t="inlineStr">
        <is>
          <t>Saturday 1-4pm: a gentle-paced walk through the Franklin ghost town with 4 neighbors. It's full of coal-mining history, right up your alley, with fellow history buffs. Sound good?</t>
        </is>
      </c>
      <c r="H66" s="23" t="inlineStr">
        <is>
          <t>nothing in the profile conflicts with it</t>
        </is>
      </c>
      <c r="I66" s="24" t="inlineStr">
        <is>
          <t>YES</t>
        </is>
      </c>
      <c r="J66" s="23" t="inlineStr">
        <is>
          <t>-</t>
        </is>
      </c>
      <c r="K66" s="23" t="inlineStr">
        <is>
          <t>Ryan's free Saturday afternoon and this is right up his alley—free, historical, and a gentle walk with neighbors. He'd love to join the Franklin ghost town hike.</t>
        </is>
      </c>
      <c r="L66" s="24" t="inlineStr">
        <is>
          <t>Yes</t>
        </is>
      </c>
      <c r="M66" s="25" t="n"/>
      <c r="N66" s="26" t="inlineStr">
        <is>
          <t>#386 ask, #387 call, #408 reply</t>
        </is>
      </c>
    </row>
    <row r="67" ht="42" customHeight="1">
      <c r="A67" s="23" t="inlineStr">
        <is>
          <t>P1 2026-10-31/g3</t>
        </is>
      </c>
      <c r="B67" s="23" t="inlineStr">
        <is>
          <t>P1</t>
        </is>
      </c>
      <c r="C67" s="23" t="inlineStr">
        <is>
          <t>Franklin ghost town hike</t>
        </is>
      </c>
      <c r="D67" s="23" t="inlineStr">
        <is>
          <t>e038 Ron B.</t>
        </is>
      </c>
      <c r="E67" s="24" t="n">
        <v>1</v>
      </c>
      <c r="F67" s="23" t="inlineStr">
        <is>
          <t>1pm-4pm</t>
        </is>
      </c>
      <c r="G67" s="23" t="inlineStr">
        <is>
          <t>Saturday 1-4pm: a hike to the Franklin ghost town with 4 neighbors. There's good birding along the gorge and photo spots among the ruins, and a fellow book-club birder is in the group. In?</t>
        </is>
      </c>
      <c r="H67" s="23" t="inlineStr">
        <is>
          <t>nothing in the profile conflicts with it</t>
        </is>
      </c>
      <c r="I67" s="24" t="inlineStr">
        <is>
          <t>YES</t>
        </is>
      </c>
      <c r="J67" s="23" t="inlineStr">
        <is>
          <t>-</t>
        </is>
      </c>
      <c r="K67" s="23" t="inlineStr">
        <is>
          <t>Saturday 1-4pm works great for Ron — free that afternoon, and birding plus photography along the gorge with a book-club friend sounds right up his alley. He's in!</t>
        </is>
      </c>
      <c r="L67" s="24" t="inlineStr">
        <is>
          <t>Yes</t>
        </is>
      </c>
      <c r="M67" s="25" t="n"/>
      <c r="N67" s="26" t="inlineStr">
        <is>
          <t>#391 ask, #392 call, #403 reply</t>
        </is>
      </c>
    </row>
    <row r="68" ht="42" customHeight="1">
      <c r="A68" s="23" t="inlineStr">
        <is>
          <t>P1 2026-10-31/g3</t>
        </is>
      </c>
      <c r="B68" s="23" t="inlineStr">
        <is>
          <t>P1</t>
        </is>
      </c>
      <c r="C68" s="23" t="inlineStr">
        <is>
          <t>Franklin ghost town hike</t>
        </is>
      </c>
      <c r="D68" s="23" t="inlineStr">
        <is>
          <t>e041 Imani O.</t>
        </is>
      </c>
      <c r="E68" s="24" t="n">
        <v>1</v>
      </c>
      <c r="F68" s="23" t="inlineStr">
        <is>
          <t>1pm-4pm</t>
        </is>
      </c>
      <c r="G68" s="23" t="inlineStr">
        <is>
          <t>Saturday 1-4pm: a Franklin ghost town hike with 4 neighbors, including another parent at home. It's a solid afternoon hike with history along the way. Want to come?</t>
        </is>
      </c>
      <c r="H68" s="23" t="inlineStr">
        <is>
          <t>nothing in the profile conflicts with it</t>
        </is>
      </c>
      <c r="I68" s="24" t="inlineStr">
        <is>
          <t>YES</t>
        </is>
      </c>
      <c r="J68" s="23" t="inlineStr">
        <is>
          <t>-</t>
        </is>
      </c>
      <c r="K68" s="23" t="inlineStr">
        <is>
          <t>Saturday afternoon is free and this is right up Imani's alley — free, a hike, and close to home with no long drive. Count Imani in!</t>
        </is>
      </c>
      <c r="L68" s="24" t="inlineStr">
        <is>
          <t>Yes</t>
        </is>
      </c>
      <c r="M68" s="25" t="n"/>
      <c r="N68" s="26" t="inlineStr">
        <is>
          <t>#396 ask, #397 call, #428 reply</t>
        </is>
      </c>
    </row>
    <row r="69" ht="42" customHeight="1">
      <c r="A69" s="23" t="inlineStr">
        <is>
          <t>P1 2026-10-31/g4</t>
        </is>
      </c>
      <c r="B69" s="23" t="inlineStr">
        <is>
          <t>P1</t>
        </is>
      </c>
      <c r="C69" s="23" t="inlineStr">
        <is>
          <t>Kraken hockey night</t>
        </is>
      </c>
      <c r="D69" s="23" t="inlineStr">
        <is>
          <t>e075 Rosa G.</t>
        </is>
      </c>
      <c r="E69" s="24" t="n">
        <v>1</v>
      </c>
      <c r="F69" s="23" t="inlineStr">
        <is>
          <t>7pm-9:30pm</t>
        </is>
      </c>
      <c r="G69" s="23" t="inlineStr">
        <is>
          <t>Saturday 7-9:30pm: Kraken hockey night at Black Diamond Grill with 2 other neighbors who love watching sports. Expect cheap eats, a game on and good company. In?</t>
        </is>
      </c>
      <c r="H69" s="23" t="inlineStr">
        <is>
          <t>nothing in the profile conflicts with it</t>
        </is>
      </c>
      <c r="I69" s="24" t="inlineStr">
        <is>
          <t>YES</t>
        </is>
      </c>
      <c r="J69" s="23" t="inlineStr">
        <is>
          <t>-</t>
        </is>
      </c>
      <c r="K69" s="23" t="inlineStr">
        <is>
          <t>Rosa's free Saturday evening and loves watching sports with good cheap eats, so Kraken hockey night at Black Diamond Grill sounds great. Count her in!</t>
        </is>
      </c>
      <c r="L69" s="24" t="inlineStr">
        <is>
          <t>Yes</t>
        </is>
      </c>
      <c r="M69" s="25" t="n"/>
      <c r="N69" s="26" t="inlineStr">
        <is>
          <t>#401 ask, #402 call, #413 reply</t>
        </is>
      </c>
    </row>
    <row r="70" ht="42" customHeight="1">
      <c r="A70" s="23" t="inlineStr">
        <is>
          <t>P1 2026-10-31/g4</t>
        </is>
      </c>
      <c r="B70" s="23" t="inlineStr">
        <is>
          <t>P1</t>
        </is>
      </c>
      <c r="C70" s="23" t="inlineStr">
        <is>
          <t>Kraken hockey night</t>
        </is>
      </c>
      <c r="D70" s="23" t="inlineStr">
        <is>
          <t>e075 Rosa G.</t>
        </is>
      </c>
      <c r="E70" s="24" t="n">
        <v>2</v>
      </c>
      <c r="F70" s="23" t="inlineStr">
        <is>
          <t>7pm-9:30pm</t>
        </is>
      </c>
      <c r="G70" s="23" t="inlineStr">
        <is>
          <t>Kraken hockey night at 7pm-9:30pm is still on. Grace can't make it, so it'll be you and Jack. No action needed unless that changes things for you.</t>
        </is>
      </c>
      <c r="H70" s="23" t="inlineStr">
        <is>
          <t>nothing in the profile conflicts with it</t>
        </is>
      </c>
      <c r="I70" s="24" t="inlineStr">
        <is>
          <t>YES</t>
        </is>
      </c>
      <c r="J70" s="23" t="inlineStr">
        <is>
          <t>-</t>
        </is>
      </c>
      <c r="K70" s="23" t="inlineStr">
        <is>
          <t>Saturday evening works great for Rosa, and watching hockey at a low-cost neighborhood spot fits her love of watching sports perfectly. She's happy to join Jack for Kraken hockey night.</t>
        </is>
      </c>
      <c r="L70" s="24" t="inlineStr">
        <is>
          <t>Yes</t>
        </is>
      </c>
      <c r="M70" s="25" t="n"/>
      <c r="N70" s="26" t="inlineStr">
        <is>
          <t>#452 ask, #453 call, #459 reply</t>
        </is>
      </c>
    </row>
    <row r="71" ht="55" customHeight="1">
      <c r="A71" s="23" t="inlineStr">
        <is>
          <t>P1 2026-10-31/g4</t>
        </is>
      </c>
      <c r="B71" s="23" t="inlineStr">
        <is>
          <t>P1</t>
        </is>
      </c>
      <c r="C71" s="23" t="inlineStr">
        <is>
          <t>Kraken hockey night</t>
        </is>
      </c>
      <c r="D71" s="23" t="inlineStr">
        <is>
          <t>e148 Grace C.</t>
        </is>
      </c>
      <c r="E71" s="24" t="n">
        <v>1</v>
      </c>
      <c r="F71" s="23" t="inlineStr">
        <is>
          <t>7pm-9:30pm</t>
        </is>
      </c>
      <c r="G71" s="23" t="inlineStr">
        <is>
          <t>Saturday 7-9:30pm: watch the Kraken at Black Diamond Grill with 2 sports-loving neighbors. It's low-cost and easygoing, and there are fellow baseball fans to chat with between periods. Want to join?</t>
        </is>
      </c>
      <c r="H71" s="23" t="inlineStr">
        <is>
          <t>It runs to 9pm or later, and Grace avoids late nights.</t>
        </is>
      </c>
      <c r="I71" s="24" t="inlineStr">
        <is>
          <t>NO</t>
        </is>
      </c>
      <c r="J71" s="23" t="inlineStr">
        <is>
          <t>-</t>
        </is>
      </c>
      <c r="K71" s="23" t="inlineStr">
        <is>
          <t>Grace is free Saturday evening but 7-9:30pm runs too late for her since she avoids late nights. She'd love a watch-sports outing if it wraps up earlier, say 5-7:30pm, but this one doesn't work as scheduled.</t>
        </is>
      </c>
      <c r="L71" s="24" t="inlineStr">
        <is>
          <t>No</t>
        </is>
      </c>
      <c r="M71" s="25" t="n"/>
      <c r="N71" s="26" t="inlineStr">
        <is>
          <t>#406 ask, #407 call, #433 reply</t>
        </is>
      </c>
    </row>
    <row r="72" ht="29" customHeight="1">
      <c r="A72" s="23" t="inlineStr">
        <is>
          <t>P1 2026-10-31/g4</t>
        </is>
      </c>
      <c r="B72" s="23" t="inlineStr">
        <is>
          <t>P1</t>
        </is>
      </c>
      <c r="C72" s="23" t="inlineStr">
        <is>
          <t>Kraken hockey night</t>
        </is>
      </c>
      <c r="D72" s="23" t="inlineStr">
        <is>
          <t>e133 Jack W.</t>
        </is>
      </c>
      <c r="E72" s="24" t="n">
        <v>1</v>
      </c>
      <c r="F72" s="23" t="inlineStr">
        <is>
          <t>7pm-9:30pm</t>
        </is>
      </c>
      <c r="G72" s="23" t="inlineStr">
        <is>
          <t>Saturday 7-9:30pm: Kraken game at Black Diamond Grill with 2 neighbors who like watching sports. It's low cost, a fun night out. Interested?</t>
        </is>
      </c>
      <c r="H72" s="23" t="inlineStr">
        <is>
          <t>nothing in the profile conflicts with it</t>
        </is>
      </c>
      <c r="I72" s="24" t="inlineStr">
        <is>
          <t>YES</t>
        </is>
      </c>
      <c r="J72" s="23" t="inlineStr">
        <is>
          <t>-</t>
        </is>
      </c>
      <c r="K72" s="23" t="inlineStr">
        <is>
          <t>Jack's free Saturday evening and loves watching sports, so Kraken hockey night at Black Diamond Grill sounds great — count him in!</t>
        </is>
      </c>
      <c r="L72" s="24" t="inlineStr">
        <is>
          <t>Yes</t>
        </is>
      </c>
      <c r="M72" s="25" t="n"/>
      <c r="N72" s="26" t="inlineStr">
        <is>
          <t>#411 ask, #412 call, #418 reply</t>
        </is>
      </c>
    </row>
    <row r="73" ht="42" customHeight="1">
      <c r="A73" s="23" t="inlineStr">
        <is>
          <t>P1 2026-10-31/g4</t>
        </is>
      </c>
      <c r="B73" s="23" t="inlineStr">
        <is>
          <t>P1</t>
        </is>
      </c>
      <c r="C73" s="23" t="inlineStr">
        <is>
          <t>Kraken hockey night</t>
        </is>
      </c>
      <c r="D73" s="23" t="inlineStr">
        <is>
          <t>e133 Jack W.</t>
        </is>
      </c>
      <c r="E73" s="24" t="n">
        <v>2</v>
      </c>
      <c r="F73" s="23" t="inlineStr">
        <is>
          <t>7pm-9:30pm</t>
        </is>
      </c>
      <c r="G73" s="23" t="inlineStr">
        <is>
          <t>Kraken hockey night at 7pm-9:30pm is still on. Grace can't make it, so it'll be you and Rosa. No action needed unless that changes things for you.</t>
        </is>
      </c>
      <c r="H73" s="23" t="inlineStr">
        <is>
          <t>nothing in the profile conflicts with it</t>
        </is>
      </c>
      <c r="I73" s="24" t="inlineStr">
        <is>
          <t>YES</t>
        </is>
      </c>
      <c r="J73" s="23" t="inlineStr">
        <is>
          <t>-</t>
        </is>
      </c>
      <c r="K73" s="23" t="inlineStr">
        <is>
          <t>Saturday evening works great for Jack, and watching hockey is right up his alley. He's in for 7-9:30pm at Black Diamond Grill.</t>
        </is>
      </c>
      <c r="L73" s="24" t="inlineStr">
        <is>
          <t>Yes</t>
        </is>
      </c>
      <c r="M73" s="25" t="n"/>
      <c r="N73" s="26" t="inlineStr">
        <is>
          <t>#454 ask, #455 call, #456 reply</t>
        </is>
      </c>
    </row>
    <row r="74" ht="42" customHeight="1">
      <c r="A74" s="23" t="inlineStr">
        <is>
          <t>P1 2026-10-31/g5</t>
        </is>
      </c>
      <c r="B74" s="23" t="inlineStr">
        <is>
          <t>P1</t>
        </is>
      </c>
      <c r="C74" s="23" t="inlineStr">
        <is>
          <t>Evening walk on the Ten Trails paths</t>
        </is>
      </c>
      <c r="D74" s="23" t="inlineStr">
        <is>
          <t>e082 Isabel G.</t>
        </is>
      </c>
      <c r="E74" s="24" t="n">
        <v>1</v>
      </c>
      <c r="F74" s="23" t="inlineStr">
        <is>
          <t>5:30pm-6:45pm</t>
        </is>
      </c>
      <c r="G74" s="23" t="inlineStr">
        <is>
          <t>Saturday 5:30-6:45pm: an evening walk on the Ten Trails paths with 2 neighbors. One of them is a fellow dog-walker and another loves hiking, so bring your pup if you like. In?</t>
        </is>
      </c>
      <c r="H74" s="23" t="inlineStr">
        <is>
          <t>nothing in the profile conflicts with it</t>
        </is>
      </c>
      <c r="I74" s="24" t="inlineStr">
        <is>
          <t>YES</t>
        </is>
      </c>
      <c r="J74" s="23" t="inlineStr">
        <is>
          <t>-</t>
        </is>
      </c>
      <c r="K74" s="23" t="inlineStr">
        <is>
          <t>Saturday evening works great for Isabel - she's free, it's free, and a walk with fellow dog-walkers and hikers fits her love of dog walks and hiking perfectly. She's in!</t>
        </is>
      </c>
      <c r="L74" s="24" t="inlineStr">
        <is>
          <t>Yes</t>
        </is>
      </c>
      <c r="M74" s="25" t="n"/>
      <c r="N74" s="26" t="inlineStr">
        <is>
          <t>#416 ask, #417 call, #423 reply</t>
        </is>
      </c>
    </row>
    <row r="75" ht="42" customHeight="1">
      <c r="A75" s="23" t="inlineStr">
        <is>
          <t>P1 2026-10-31/g5</t>
        </is>
      </c>
      <c r="B75" s="23" t="inlineStr">
        <is>
          <t>P1</t>
        </is>
      </c>
      <c r="C75" s="23" t="inlineStr">
        <is>
          <t>Evening walk on the Ten Trails paths</t>
        </is>
      </c>
      <c r="D75" s="23" t="inlineStr">
        <is>
          <t>e105 Josh L.</t>
        </is>
      </c>
      <c r="E75" s="24" t="n">
        <v>1</v>
      </c>
      <c r="F75" s="23" t="inlineStr">
        <is>
          <t>5:30pm-6:45pm</t>
        </is>
      </c>
      <c r="G75" s="23" t="inlineStr">
        <is>
          <t>Saturday 5:30-6:45pm: an evening walk on the Ten Trails network with 2 neighbors who enjoy getting outdoors. It's a nice way to wind down your Saturday after shifts. Want to come?</t>
        </is>
      </c>
      <c r="H75" s="23" t="inlineStr">
        <is>
          <t>nothing in the profile conflicts with it</t>
        </is>
      </c>
      <c r="I75" s="24" t="inlineStr">
        <is>
          <t>YES</t>
        </is>
      </c>
      <c r="J75" s="23" t="inlineStr">
        <is>
          <t>-</t>
        </is>
      </c>
      <c r="K75" s="23" t="inlineStr">
        <is>
          <t>Saturday evening works great for Josh — free time, no cost, and a walk with neighbors fits his love of hiking and the outdoors. He's in!</t>
        </is>
      </c>
      <c r="L75" s="24" t="inlineStr">
        <is>
          <t>Yes</t>
        </is>
      </c>
      <c r="M75" s="25" t="n"/>
      <c r="N75" s="26" t="inlineStr">
        <is>
          <t>#421 ask, #422 call, #441 reply</t>
        </is>
      </c>
    </row>
    <row r="76" ht="42" customHeight="1">
      <c r="A76" s="23" t="inlineStr">
        <is>
          <t>P1 2026-10-31/g5</t>
        </is>
      </c>
      <c r="B76" s="23" t="inlineStr">
        <is>
          <t>P1</t>
        </is>
      </c>
      <c r="C76" s="23" t="inlineStr">
        <is>
          <t>Evening walk on the Ten Trails paths</t>
        </is>
      </c>
      <c r="D76" s="23" t="inlineStr">
        <is>
          <t>e052 Ron W.</t>
        </is>
      </c>
      <c r="E76" s="24" t="n">
        <v>1</v>
      </c>
      <c r="F76" s="23" t="inlineStr">
        <is>
          <t>5:30pm-6:45pm</t>
        </is>
      </c>
      <c r="G76" s="23" t="inlineStr">
        <is>
          <t>Saturday 5:30-6:45pm: an easy evening walk at Ten Trails with 2 neighbors, including another dog lover. It's free and relaxed. Join?</t>
        </is>
      </c>
      <c r="H76" s="23" t="inlineStr">
        <is>
          <t>nothing in the profile conflicts with it</t>
        </is>
      </c>
      <c r="I76" s="24" t="inlineStr">
        <is>
          <t>YES</t>
        </is>
      </c>
      <c r="J76" s="23" t="inlineStr">
        <is>
          <t>-</t>
        </is>
      </c>
      <c r="K76" s="23" t="inlineStr">
        <is>
          <t>Saturday evening works great for Ron — he's free then, loves dog walks, and this relaxed small-group walk fits his vibe perfectly. Count him in!</t>
        </is>
      </c>
      <c r="L76" s="24" t="inlineStr">
        <is>
          <t>Yes</t>
        </is>
      </c>
      <c r="M76" s="25" t="n"/>
      <c r="N76" s="26" t="inlineStr">
        <is>
          <t>#426 ask, #427 call, #438 reply</t>
        </is>
      </c>
    </row>
    <row r="77" ht="42" customHeight="1">
      <c r="A77" s="23" t="inlineStr">
        <is>
          <t>P1 2026-10-31/g6</t>
        </is>
      </c>
      <c r="B77" s="23" t="inlineStr">
        <is>
          <t>P1</t>
        </is>
      </c>
      <c r="C77" s="23" t="inlineStr">
        <is>
          <t>Paddle Lake Sawyer</t>
        </is>
      </c>
      <c r="D77" s="23" t="inlineStr">
        <is>
          <t>e067 Donna M.</t>
        </is>
      </c>
      <c r="E77" s="24" t="n">
        <v>1</v>
      </c>
      <c r="F77" s="23" t="inlineStr">
        <is>
          <t>1:30pm-3:30pm</t>
        </is>
      </c>
      <c r="G77" s="23" t="inlineStr">
        <is>
          <t>Saturday 1:30-3:30pm: paddle Lake Sawyer from the Regional Park boat launch with 1 other neighbor who loves kayaking. It's low cost and relaxed, maybe with a pint after. Interested?</t>
        </is>
      </c>
      <c r="H77" s="23" t="inlineStr">
        <is>
          <t>nothing in the profile conflicts with it</t>
        </is>
      </c>
      <c r="I77" s="24" t="inlineStr">
        <is>
          <t>YES</t>
        </is>
      </c>
      <c r="J77" s="23" t="inlineStr">
        <is>
          <t>-</t>
        </is>
      </c>
      <c r="K77" s="23" t="inlineStr">
        <is>
          <t>Saturday afternoon kayaking at Lake Sawyer works great for Donna—she loves kayaking, it's a small group not a crowd, and she's free that time. A pint after sounds good too.</t>
        </is>
      </c>
      <c r="L77" s="24" t="inlineStr">
        <is>
          <t>Yes</t>
        </is>
      </c>
      <c r="M77" s="25" t="n"/>
      <c r="N77" s="26" t="inlineStr">
        <is>
          <t>#431 ask, #432 call, #444 reply</t>
        </is>
      </c>
    </row>
    <row r="78" ht="42" customHeight="1">
      <c r="A78" s="23" t="inlineStr">
        <is>
          <t>P1 2026-10-31/g6</t>
        </is>
      </c>
      <c r="B78" s="23" t="inlineStr">
        <is>
          <t>P1</t>
        </is>
      </c>
      <c r="C78" s="23" t="inlineStr">
        <is>
          <t>Paddle Lake Sawyer</t>
        </is>
      </c>
      <c r="D78" s="23" t="inlineStr">
        <is>
          <t>e049 Lauren P.</t>
        </is>
      </c>
      <c r="E78" s="24" t="n">
        <v>1</v>
      </c>
      <c r="F78" s="23" t="inlineStr">
        <is>
          <t>1:30pm-3:30pm</t>
        </is>
      </c>
      <c r="G78" s="23" t="inlineStr">
        <is>
          <t>Saturday 1:30-3:30pm: a paddle on Lake Sawyer from the boat launch with 1 fellow kayaker from the neighborhood. You also share a taste for craft beer. Want to go?</t>
        </is>
      </c>
      <c r="H78" s="23" t="inlineStr">
        <is>
          <t>nothing in the profile conflicts with it</t>
        </is>
      </c>
      <c r="I78" s="24" t="inlineStr">
        <is>
          <t>YES</t>
        </is>
      </c>
      <c r="J78" s="23" t="inlineStr">
        <is>
          <t>-</t>
        </is>
      </c>
      <c r="K78" s="23" t="inlineStr">
        <is>
          <t>This is a great fit — kayaking on Saturday afternoon works perfectly with Lauren's schedule, budget, and love of the activity. Count her in!</t>
        </is>
      </c>
      <c r="L78" s="24" t="inlineStr">
        <is>
          <t>Yes</t>
        </is>
      </c>
      <c r="M78" s="25" t="n"/>
      <c r="N78" s="26" t="inlineStr">
        <is>
          <t>#436 ask, #437 call, #447 reply</t>
        </is>
      </c>
    </row>
    <row r="79" ht="55" customHeight="1">
      <c r="A79" s="23" t="inlineStr">
        <is>
          <t>T1 2026-10-28/g1</t>
        </is>
      </c>
      <c r="B79" s="23" t="inlineStr">
        <is>
          <t>T1</t>
        </is>
      </c>
      <c r="C79" s="23" t="inlineStr">
        <is>
          <t>Trivia night as one team</t>
        </is>
      </c>
      <c r="D79" s="23" t="inlineStr">
        <is>
          <t>e074 Rohan L.</t>
        </is>
      </c>
      <c r="E79" s="24" t="n">
        <v>1</v>
      </c>
      <c r="F79" s="23" t="inlineStr">
        <is>
          <t>7pm-9pm</t>
        </is>
      </c>
      <c r="G79" s="23" t="inlineStr">
        <is>
          <t>Trivia night at a Black Diamond taproom this Wednesday, 7-9pm, playing as one team with 4 other neighbors. It's low cost. You love craft beer and golf, and so do several of your teammates, so the table talk should be easy.</t>
        </is>
      </c>
      <c r="H79" s="23" t="inlineStr">
        <is>
          <t>nothing in the profile conflicts with it</t>
        </is>
      </c>
      <c r="I79" s="24" t="inlineStr">
        <is>
          <t>YES</t>
        </is>
      </c>
      <c r="J79" s="23" t="inlineStr">
        <is>
          <t>-</t>
        </is>
      </c>
      <c r="K79" s="23" t="inlineStr">
        <is>
          <t>Wednesday evening works great for Rohan, and a taproom setting fits his love of craft beer—he's in for trivia night with the neighbors.</t>
        </is>
      </c>
      <c r="L79" s="24" t="inlineStr">
        <is>
          <t>Yes</t>
        </is>
      </c>
      <c r="M79" s="25" t="n"/>
      <c r="N79" s="26" t="inlineStr">
        <is>
          <t>#226 ask, #227 call, #234 reply</t>
        </is>
      </c>
    </row>
    <row r="80" ht="55" customHeight="1">
      <c r="A80" s="23" t="inlineStr">
        <is>
          <t>T1 2026-10-28/g1</t>
        </is>
      </c>
      <c r="B80" s="23" t="inlineStr">
        <is>
          <t>T1</t>
        </is>
      </c>
      <c r="C80" s="23" t="inlineStr">
        <is>
          <t>Trivia night as one team</t>
        </is>
      </c>
      <c r="D80" s="23" t="inlineStr">
        <is>
          <t>e075 Rosa G.</t>
        </is>
      </c>
      <c r="E80" s="24" t="n">
        <v>1</v>
      </c>
      <c r="F80" s="23" t="inlineStr">
        <is>
          <t>7pm-9pm</t>
        </is>
      </c>
      <c r="G80" s="23" t="inlineStr">
        <is>
          <t>Want to join a trivia team Wednesday 7-9pm at a Black Diamond taproom? You'd be playing with 4 other neighbors, and it's low cost. Your love of craft beer and watching sports fits right in: this crew is beer and sports fans.</t>
        </is>
      </c>
      <c r="H80" s="23" t="inlineStr">
        <is>
          <t>nothing in the profile conflicts with it</t>
        </is>
      </c>
      <c r="I80" s="24" t="inlineStr">
        <is>
          <t>YES</t>
        </is>
      </c>
      <c r="J80" s="23" t="inlineStr">
        <is>
          <t>-</t>
        </is>
      </c>
      <c r="K80" s="23" t="inlineStr">
        <is>
          <t>Wednesday evening works great for Rosa, and a trivia night at a taproom with fellow craft beer and sports fans sounds right up her alley. Count her in!</t>
        </is>
      </c>
      <c r="L80" s="24" t="inlineStr">
        <is>
          <t>Yes</t>
        </is>
      </c>
      <c r="M80" s="25" t="n"/>
      <c r="N80" s="26" t="inlineStr">
        <is>
          <t>#228 ask, #229 call, #239 reply</t>
        </is>
      </c>
    </row>
    <row r="81" ht="42" customHeight="1">
      <c r="A81" s="23" t="inlineStr">
        <is>
          <t>T1 2026-10-28/g1</t>
        </is>
      </c>
      <c r="B81" s="23" t="inlineStr">
        <is>
          <t>T1</t>
        </is>
      </c>
      <c r="C81" s="23" t="inlineStr">
        <is>
          <t>Trivia night as one team</t>
        </is>
      </c>
      <c r="D81" s="23" t="inlineStr">
        <is>
          <t>e062 Tom N.</t>
        </is>
      </c>
      <c r="E81" s="24" t="n">
        <v>1</v>
      </c>
      <c r="F81" s="23" t="inlineStr">
        <is>
          <t>7pm-9pm</t>
        </is>
      </c>
      <c r="G81" s="23" t="inlineStr">
        <is>
          <t>Trivia night Wednesday 7-9pm at a Black Diamond taproom, playing as one team with 4 other neighbors, low cost. It's a relaxed weeknight out over craft beer with people who also enjoy golf.</t>
        </is>
      </c>
      <c r="H81" s="23" t="inlineStr">
        <is>
          <t>It runs to 9pm or later, and Tom avoids late nights.</t>
        </is>
      </c>
      <c r="I81" s="24" t="inlineStr">
        <is>
          <t>NO</t>
        </is>
      </c>
      <c r="J81" s="23" t="inlineStr">
        <is>
          <t>-</t>
        </is>
      </c>
      <c r="K81" s="23" t="inlineStr">
        <is>
          <t>Tom's free Wednesday evening, and craft beer at a taproom sounds great, but a 7-9pm trivia night runs later than he likes given he avoids late nights and has kids at home. Let's pass on this one.</t>
        </is>
      </c>
      <c r="L81" s="24" t="inlineStr">
        <is>
          <t>No</t>
        </is>
      </c>
      <c r="M81" s="25" t="n"/>
      <c r="N81" s="26" t="inlineStr">
        <is>
          <t>#230 ask, #231 call, #249 reply</t>
        </is>
      </c>
    </row>
    <row r="82" ht="42" customHeight="1">
      <c r="A82" s="23" t="inlineStr">
        <is>
          <t>T1 2026-10-28/g1</t>
        </is>
      </c>
      <c r="B82" s="23" t="inlineStr">
        <is>
          <t>T1</t>
        </is>
      </c>
      <c r="C82" s="23" t="inlineStr">
        <is>
          <t>Trivia night as one team</t>
        </is>
      </c>
      <c r="D82" s="23" t="inlineStr">
        <is>
          <t>e157 Kevin B.</t>
        </is>
      </c>
      <c r="E82" s="24" t="n">
        <v>1</v>
      </c>
      <c r="F82" s="23" t="inlineStr">
        <is>
          <t>7pm-9pm</t>
        </is>
      </c>
      <c r="G82" s="23" t="inlineStr">
        <is>
          <t>Wednesday 7-9pm: trivia at a Black Diamond taproom, one team with 4 other neighbors, low cost. You like craft beer, golf and watching sports, and so does this group, which helps with the sports questions too.</t>
        </is>
      </c>
      <c r="H82" s="23" t="inlineStr">
        <is>
          <t>nothing in the profile conflicts with it</t>
        </is>
      </c>
      <c r="I82" s="24" t="inlineStr">
        <is>
          <t>YES</t>
        </is>
      </c>
      <c r="J82" s="23" t="inlineStr">
        <is>
          <t>-</t>
        </is>
      </c>
      <c r="K82" s="23" t="inlineStr">
        <is>
          <t>Wednesday evening works great for Kevin — he's free, loves craft beer, and a small group trivia night at a taproom sounds like a fun low-key fit. Count him in.</t>
        </is>
      </c>
      <c r="L82" s="24" t="inlineStr">
        <is>
          <t>Yes</t>
        </is>
      </c>
      <c r="M82" s="25" t="n"/>
      <c r="N82" s="26" t="inlineStr">
        <is>
          <t>#232 ask, #233 call, #244 reply</t>
        </is>
      </c>
    </row>
    <row r="83" ht="42" customHeight="1">
      <c r="A83" s="23" t="inlineStr">
        <is>
          <t>T1 2026-10-28/g1</t>
        </is>
      </c>
      <c r="B83" s="23" t="inlineStr">
        <is>
          <t>T1</t>
        </is>
      </c>
      <c r="C83" s="23" t="inlineStr">
        <is>
          <t>Trivia night as one team</t>
        </is>
      </c>
      <c r="D83" s="23" t="inlineStr">
        <is>
          <t>e198 Paige A.</t>
        </is>
      </c>
      <c r="E83" s="24" t="n">
        <v>1</v>
      </c>
      <c r="F83" s="23" t="inlineStr">
        <is>
          <t>7pm-9pm</t>
        </is>
      </c>
      <c r="G83" s="23" t="inlineStr">
        <is>
          <t>Trivia night this Wednesday, 7-9pm, at a Black Diamond taproom, with you plus 4 other neighbors on one team, low cost. It's a good craft-beer evening with a friendly, similar-age crowd.</t>
        </is>
      </c>
      <c r="H83" s="23" t="inlineStr">
        <is>
          <t>nothing in the profile conflicts with it</t>
        </is>
      </c>
      <c r="I83" s="24" t="inlineStr">
        <is>
          <t>YES</t>
        </is>
      </c>
      <c r="J83" s="23" t="inlineStr">
        <is>
          <t>-</t>
        </is>
      </c>
      <c r="K83" s="23" t="inlineStr">
        <is>
          <t>Paige is free Wednesday evening and loves craft beer, so a taproom trivia night with neighbors fits well. Count her in.</t>
        </is>
      </c>
      <c r="L83" s="24" t="inlineStr">
        <is>
          <t>Yes</t>
        </is>
      </c>
      <c r="M83" s="25" t="n"/>
      <c r="N83" s="26" t="inlineStr">
        <is>
          <t>#237 ask, #238 call, #259 reply</t>
        </is>
      </c>
    </row>
    <row r="84" ht="42" customHeight="1">
      <c r="A84" s="23" t="inlineStr">
        <is>
          <t>T1 2026-10-28/g1</t>
        </is>
      </c>
      <c r="B84" s="23" t="inlineStr">
        <is>
          <t>T1</t>
        </is>
      </c>
      <c r="C84" s="23" t="inlineStr">
        <is>
          <t>Trivia night as one team</t>
        </is>
      </c>
      <c r="D84" s="23" t="inlineStr">
        <is>
          <t>e170 Kavya T.</t>
        </is>
      </c>
      <c r="E84" s="24" t="n">
        <v>2</v>
      </c>
      <c r="F84" s="23" t="inlineStr">
        <is>
          <t>7pm-9pm</t>
        </is>
      </c>
      <c r="G84" s="23" t="inlineStr">
        <is>
          <t>Hi! A spot opened up on a trivia team tonight (Wed 28 Oct), 7pm-9pm in Black Diamond, with Rohan, Rosa, Kevin and Paige. It's a real event, so the time is fixed. Would Kavya like to join?</t>
        </is>
      </c>
      <c r="H84" s="23" t="inlineStr">
        <is>
          <t>nothing in the profile conflicts with it</t>
        </is>
      </c>
      <c r="I84" s="24" t="inlineStr">
        <is>
          <t>YES</t>
        </is>
      </c>
      <c r="J84" s="23" t="inlineStr">
        <is>
          <t>-</t>
        </is>
      </c>
      <c r="K84" s="23" t="inlineStr">
        <is>
          <t>Kavya's free Wednesday evening and loves trivia - count her in for 7-9pm at the taproom!</t>
        </is>
      </c>
      <c r="L84" s="24" t="inlineStr">
        <is>
          <t>Yes</t>
        </is>
      </c>
      <c r="M84" s="25" t="n"/>
      <c r="N84" s="26" t="inlineStr">
        <is>
          <t>#432 ask, #433 call, #447 reply</t>
        </is>
      </c>
    </row>
    <row r="85" ht="42" customHeight="1">
      <c r="A85" s="23" t="inlineStr">
        <is>
          <t>T1 2026-10-28/g2</t>
        </is>
      </c>
      <c r="B85" s="23" t="inlineStr">
        <is>
          <t>T1</t>
        </is>
      </c>
      <c r="C85" s="23" t="inlineStr">
        <is>
          <t>Crafts and woodworking night</t>
        </is>
      </c>
      <c r="D85" s="23" t="inlineStr">
        <is>
          <t>e123 Rachel P.</t>
        </is>
      </c>
      <c r="E85" s="24" t="n">
        <v>1</v>
      </c>
      <c r="F85" s="23" t="inlineStr">
        <is>
          <t>6:30pm-9pm</t>
        </is>
      </c>
      <c r="G85" s="23" t="inlineStr">
        <is>
          <t>Crafts and woodworking night Wednesday 6:30-9pm at a neighbor's garage workshop, free, with 3 other neighbors. Crafts is one of your top interests, so bring a project or start one there.</t>
        </is>
      </c>
      <c r="H85" s="23" t="inlineStr">
        <is>
          <t>nothing in the profile conflicts with it</t>
        </is>
      </c>
      <c r="I85" s="24" t="inlineStr">
        <is>
          <t>YES</t>
        </is>
      </c>
      <c r="J85" s="23" t="inlineStr">
        <is>
          <t>-</t>
        </is>
      </c>
      <c r="K85" s="23" t="inlineStr">
        <is>
          <t>Rachel's free Wednesday evening and loves crafts, so this garage workshop night fits perfectly. Count her in!</t>
        </is>
      </c>
      <c r="L85" s="24" t="inlineStr">
        <is>
          <t>Yes</t>
        </is>
      </c>
      <c r="M85" s="25" t="n"/>
      <c r="N85" s="26" t="inlineStr">
        <is>
          <t>#242 ask, #243 call, #254 reply</t>
        </is>
      </c>
    </row>
    <row r="86" ht="42" customHeight="1">
      <c r="A86" s="23" t="inlineStr">
        <is>
          <t>T1 2026-10-28/g2</t>
        </is>
      </c>
      <c r="B86" s="23" t="inlineStr">
        <is>
          <t>T1</t>
        </is>
      </c>
      <c r="C86" s="23" t="inlineStr">
        <is>
          <t>Crafts and woodworking night</t>
        </is>
      </c>
      <c r="D86" s="23" t="inlineStr">
        <is>
          <t>e123 Rachel P.</t>
        </is>
      </c>
      <c r="E86" s="24" t="n">
        <v>2</v>
      </c>
      <c r="F86" s="23" t="inlineStr">
        <is>
          <t>6:30pm-8pm</t>
        </is>
      </c>
      <c r="G86" s="23" t="inlineStr">
        <is>
          <t>Quick update on tonight's crafts and woodworking night: we'd like to end earlier, so it would run 6:30pm-8pm instead of 6:30pm-9pm. Does that still work for Rachel?</t>
        </is>
      </c>
      <c r="H86" s="23" t="inlineStr">
        <is>
          <t>nothing in the profile conflicts with it</t>
        </is>
      </c>
      <c r="I86" s="24" t="inlineStr">
        <is>
          <t>YES</t>
        </is>
      </c>
      <c r="J86" s="23" t="inlineStr">
        <is>
          <t>-</t>
        </is>
      </c>
      <c r="K86" s="23" t="inlineStr">
        <is>
          <t>Wednesday evening works well for Rachel and crafts is something she loves, so 6:30-8pm at the neighbor's garage is a great fit.</t>
        </is>
      </c>
      <c r="L86" s="24" t="inlineStr">
        <is>
          <t>Yes</t>
        </is>
      </c>
      <c r="M86" s="25" t="n"/>
      <c r="N86" s="26" t="inlineStr">
        <is>
          <t>#434 ask, #435 call, #440 reply</t>
        </is>
      </c>
    </row>
    <row r="87" ht="55" customHeight="1">
      <c r="A87" s="23" t="inlineStr">
        <is>
          <t>T1 2026-10-28/g2</t>
        </is>
      </c>
      <c r="B87" s="23" t="inlineStr">
        <is>
          <t>T1</t>
        </is>
      </c>
      <c r="C87" s="23" t="inlineStr">
        <is>
          <t>Crafts and woodworking night</t>
        </is>
      </c>
      <c r="D87" s="23" t="inlineStr">
        <is>
          <t>e001 Nikhil R.</t>
        </is>
      </c>
      <c r="E87" s="24" t="n">
        <v>1</v>
      </c>
      <c r="F87" s="23" t="inlineStr">
        <is>
          <t>6:30pm-9pm</t>
        </is>
      </c>
      <c r="G87" s="23" t="inlineStr">
        <is>
          <t>Wednesday 6:30-9pm: a crafts and woodworking night at a neighbor's garage workshop, free, with 3 other makers. You rated crafts highly, and this is a hands-on evening with people who feel the same.</t>
        </is>
      </c>
      <c r="H87" s="23" t="inlineStr">
        <is>
          <t>It runs to 9pm or later, and Nikhil avoids late nights.</t>
        </is>
      </c>
      <c r="I87" s="24" t="inlineStr">
        <is>
          <t>COUNTER</t>
        </is>
      </c>
      <c r="J87" s="23" t="inlineStr">
        <is>
          <t>Shift the end time earlier, like 6:30-8pm instead of 9pm, so it doesn't run into late night territory.</t>
        </is>
      </c>
      <c r="K87" s="23" t="inlineStr">
        <is>
          <t>Crafts night sounds great for Nikhil—he loves hands-on projects—but 9pm is later than he likes to be out. Could it wrap by 8pm instead?</t>
        </is>
      </c>
      <c r="L87" s="24" t="inlineStr">
        <is>
          <t>Yes</t>
        </is>
      </c>
      <c r="M87" s="25" t="n"/>
      <c r="N87" s="26" t="inlineStr">
        <is>
          <t>#247 ask, #248 call, #274 reply</t>
        </is>
      </c>
    </row>
    <row r="88" ht="42" customHeight="1">
      <c r="A88" s="23" t="inlineStr">
        <is>
          <t>T1 2026-10-28/g2</t>
        </is>
      </c>
      <c r="B88" s="23" t="inlineStr">
        <is>
          <t>T1</t>
        </is>
      </c>
      <c r="C88" s="23" t="inlineStr">
        <is>
          <t>Crafts and woodworking night</t>
        </is>
      </c>
      <c r="D88" s="23" t="inlineStr">
        <is>
          <t>e001 Nikhil R.</t>
        </is>
      </c>
      <c r="E88" s="24" t="n">
        <v>2</v>
      </c>
      <c r="F88" s="23" t="inlineStr">
        <is>
          <t>6:30pm-8pm</t>
        </is>
      </c>
      <c r="G88" s="23" t="inlineStr">
        <is>
          <t>Good news: we're moving crafts and woodworking night to 6:30pm-8pm as Nikhil suggested. I'm checking with the others now. Can you confirm Nikhil is in at that time?</t>
        </is>
      </c>
      <c r="H88" s="23" t="inlineStr">
        <is>
          <t>nothing in the profile conflicts with it</t>
        </is>
      </c>
      <c r="I88" s="24" t="inlineStr">
        <is>
          <t>YES</t>
        </is>
      </c>
      <c r="J88" s="23" t="inlineStr">
        <is>
          <t>-</t>
        </is>
      </c>
      <c r="K88" s="23" t="inlineStr">
        <is>
          <t>6:30-8pm Wednesday works great for Nikhil — free evening, loves crafts, free cost, and ends well before late-night territory. Confirmed!</t>
        </is>
      </c>
      <c r="L88" s="24" t="inlineStr">
        <is>
          <t>Yes</t>
        </is>
      </c>
      <c r="M88" s="25" t="n"/>
      <c r="N88" s="26" t="inlineStr">
        <is>
          <t>#445 ask, #446 call, #477 reply</t>
        </is>
      </c>
    </row>
    <row r="89" ht="42" customHeight="1">
      <c r="A89" s="23" t="inlineStr">
        <is>
          <t>T1 2026-10-28/g2</t>
        </is>
      </c>
      <c r="B89" s="23" t="inlineStr">
        <is>
          <t>T1</t>
        </is>
      </c>
      <c r="C89" s="23" t="inlineStr">
        <is>
          <t>Crafts and woodworking night</t>
        </is>
      </c>
      <c r="D89" s="23" t="inlineStr">
        <is>
          <t>e083 Camila R.</t>
        </is>
      </c>
      <c r="E89" s="24" t="n">
        <v>1</v>
      </c>
      <c r="F89" s="23" t="inlineStr">
        <is>
          <t>6:30pm-9pm</t>
        </is>
      </c>
      <c r="G89" s="23" t="inlineStr">
        <is>
          <t>Crafts and woodworking night this Wednesday 6:30-9pm in a neighbor's garage workshop, free, small group of 4 including you. It's a low-key evening of making things and a nice way to meet a few neighbors.</t>
        </is>
      </c>
      <c r="H89" s="23" t="inlineStr">
        <is>
          <t>nothing in the profile conflicts with it</t>
        </is>
      </c>
      <c r="I89" s="24" t="inlineStr">
        <is>
          <t>YES</t>
        </is>
      </c>
      <c r="J89" s="23" t="inlineStr">
        <is>
          <t>-</t>
        </is>
      </c>
      <c r="K89" s="23" t="inlineStr">
        <is>
          <t>This is a great fit—Camila loves crafts, it's free, and Wednesday evening works perfectly with her schedule. Count her in!</t>
        </is>
      </c>
      <c r="L89" s="24" t="inlineStr">
        <is>
          <t>Yes</t>
        </is>
      </c>
      <c r="M89" s="25" t="n"/>
      <c r="N89" s="26" t="inlineStr">
        <is>
          <t>#252 ask, #253 call, #264 reply</t>
        </is>
      </c>
    </row>
    <row r="90" ht="42" customHeight="1">
      <c r="A90" s="23" t="inlineStr">
        <is>
          <t>T1 2026-10-28/g2</t>
        </is>
      </c>
      <c r="B90" s="23" t="inlineStr">
        <is>
          <t>T1</t>
        </is>
      </c>
      <c r="C90" s="23" t="inlineStr">
        <is>
          <t>Crafts and woodworking night</t>
        </is>
      </c>
      <c r="D90" s="23" t="inlineStr">
        <is>
          <t>e083 Camila R.</t>
        </is>
      </c>
      <c r="E90" s="24" t="n">
        <v>2</v>
      </c>
      <c r="F90" s="23" t="inlineStr">
        <is>
          <t>6:30pm-8pm</t>
        </is>
      </c>
      <c r="G90" s="23" t="inlineStr">
        <is>
          <t>Quick update on tonight's crafts and woodworking night: we'd like to end earlier, so it would run 6:30pm-8pm instead of 6:30pm-9pm. Does that still work for Camila?</t>
        </is>
      </c>
      <c r="H90" s="23" t="inlineStr">
        <is>
          <t>nothing in the profile conflicts with it</t>
        </is>
      </c>
      <c r="I90" s="24" t="inlineStr">
        <is>
          <t>YES</t>
        </is>
      </c>
      <c r="J90" s="23" t="inlineStr">
        <is>
          <t>-</t>
        </is>
      </c>
      <c r="K90" s="23" t="inlineStr">
        <is>
          <t>Wednesday evening is free, crafts is a favorite of Camila's, and it's free cost, so 6:30-8pm works great for her.</t>
        </is>
      </c>
      <c r="L90" s="24" t="inlineStr">
        <is>
          <t>Yes</t>
        </is>
      </c>
      <c r="M90" s="25" t="n"/>
      <c r="N90" s="26" t="inlineStr">
        <is>
          <t>#436 ask, #437 call, #459 reply</t>
        </is>
      </c>
    </row>
    <row r="91" ht="42" customHeight="1">
      <c r="A91" s="23" t="inlineStr">
        <is>
          <t>T1 2026-10-28/g2</t>
        </is>
      </c>
      <c r="B91" s="23" t="inlineStr">
        <is>
          <t>T1</t>
        </is>
      </c>
      <c r="C91" s="23" t="inlineStr">
        <is>
          <t>Crafts and woodworking night</t>
        </is>
      </c>
      <c r="D91" s="23" t="inlineStr">
        <is>
          <t>e191 Matt L.</t>
        </is>
      </c>
      <c r="E91" s="24" t="n">
        <v>1</v>
      </c>
      <c r="F91" s="23" t="inlineStr">
        <is>
          <t>6:30pm-9pm</t>
        </is>
      </c>
      <c r="G91" s="23" t="inlineStr">
        <is>
          <t>Join a small crafts and woodworking night Wednesday 6:30-9pm at a neighbor's garage workshop, free, with 3 others. You enjoy crafts, and the group is a relaxed mix of makers.</t>
        </is>
      </c>
      <c r="H91" s="23" t="inlineStr">
        <is>
          <t>nothing in the profile conflicts with it</t>
        </is>
      </c>
      <c r="I91" s="24" t="inlineStr">
        <is>
          <t>YES</t>
        </is>
      </c>
      <c r="J91" s="23" t="inlineStr">
        <is>
          <t>-</t>
        </is>
      </c>
      <c r="K91" s="23" t="inlineStr">
        <is>
          <t>Matt's free Wednesday evening and really likes crafts, so this free neighborhood woodworking night sounds great to him. Count him in.</t>
        </is>
      </c>
      <c r="L91" s="24" t="inlineStr">
        <is>
          <t>Yes</t>
        </is>
      </c>
      <c r="M91" s="25" t="n"/>
      <c r="N91" s="26" t="inlineStr">
        <is>
          <t>#257 ask, #258 call, #269 reply</t>
        </is>
      </c>
    </row>
    <row r="92" ht="42" customHeight="1">
      <c r="A92" s="23" t="inlineStr">
        <is>
          <t>T1 2026-10-28/g2</t>
        </is>
      </c>
      <c r="B92" s="23" t="inlineStr">
        <is>
          <t>T1</t>
        </is>
      </c>
      <c r="C92" s="23" t="inlineStr">
        <is>
          <t>Crafts and woodworking night</t>
        </is>
      </c>
      <c r="D92" s="23" t="inlineStr">
        <is>
          <t>e191 Matt L.</t>
        </is>
      </c>
      <c r="E92" s="24" t="n">
        <v>2</v>
      </c>
      <c r="F92" s="23" t="inlineStr">
        <is>
          <t>6:30pm-8pm</t>
        </is>
      </c>
      <c r="G92" s="23" t="inlineStr">
        <is>
          <t>Quick update on tonight's crafts and woodworking night: we'd like to end earlier, so it would run 6:30pm-8pm instead of 6:30pm-9pm. Does that still work for Matt?</t>
        </is>
      </c>
      <c r="H92" s="23" t="inlineStr">
        <is>
          <t>nothing in the profile conflicts with it</t>
        </is>
      </c>
      <c r="I92" s="24" t="inlineStr">
        <is>
          <t>YES</t>
        </is>
      </c>
      <c r="J92" s="23" t="inlineStr">
        <is>
          <t>-</t>
        </is>
      </c>
      <c r="K92" s="23" t="inlineStr">
        <is>
          <t>Wednesday evening works and crafts is a solid fit for Matt, plus it's free. 6:30-8pm is good to go.</t>
        </is>
      </c>
      <c r="L92" s="24" t="inlineStr">
        <is>
          <t>Yes</t>
        </is>
      </c>
      <c r="M92" s="25" t="n"/>
      <c r="N92" s="26" t="inlineStr">
        <is>
          <t>#438 ask, #439 call, #453 reply</t>
        </is>
      </c>
    </row>
    <row r="93" ht="42" customHeight="1">
      <c r="A93" s="23" t="inlineStr">
        <is>
          <t>T1 2026-10-28/g3</t>
        </is>
      </c>
      <c r="B93" s="23" t="inlineStr">
        <is>
          <t>T1</t>
        </is>
      </c>
      <c r="C93" s="23" t="inlineStr">
        <is>
          <t>Pickleball doubles</t>
        </is>
      </c>
      <c r="D93" s="23" t="inlineStr">
        <is>
          <t>e081 Andres T.</t>
        </is>
      </c>
      <c r="E93" s="24" t="n">
        <v>1</v>
      </c>
      <c r="F93" s="23" t="inlineStr">
        <is>
          <t>6:30pm-8pm</t>
        </is>
      </c>
      <c r="G93" s="23" t="inlineStr">
        <is>
          <t>Pickleball doubles Wednesday 6:30-8pm at the public courts in Maple Valley, free, you plus 3 others for one doubles foursome. Pickleball is a top pick for you, and everyone here is just as keen.</t>
        </is>
      </c>
      <c r="H93" s="23" t="inlineStr">
        <is>
          <t>nothing in the profile conflicts with it</t>
        </is>
      </c>
      <c r="I93" s="24" t="inlineStr">
        <is>
          <t>YES</t>
        </is>
      </c>
      <c r="J93" s="23" t="inlineStr">
        <is>
          <t>-</t>
        </is>
      </c>
      <c r="K93" s="23" t="inlineStr">
        <is>
          <t>Wednesday evening works great and pickleball is a top pick for Andres—count him in for the doubles foursome in Maple Valley.</t>
        </is>
      </c>
      <c r="L93" s="24" t="inlineStr">
        <is>
          <t>Yes</t>
        </is>
      </c>
      <c r="M93" s="25" t="n"/>
      <c r="N93" s="26" t="inlineStr">
        <is>
          <t>#262 ask, #263 call, #279 reply</t>
        </is>
      </c>
    </row>
    <row r="94" ht="42" customHeight="1">
      <c r="A94" s="23" t="inlineStr">
        <is>
          <t>T1 2026-10-28/g3</t>
        </is>
      </c>
      <c r="B94" s="23" t="inlineStr">
        <is>
          <t>T1</t>
        </is>
      </c>
      <c r="C94" s="23" t="inlineStr">
        <is>
          <t>Pickleball doubles</t>
        </is>
      </c>
      <c r="D94" s="23" t="inlineStr">
        <is>
          <t>e043 Quinn J.</t>
        </is>
      </c>
      <c r="E94" s="24" t="n">
        <v>1</v>
      </c>
      <c r="F94" s="23" t="inlineStr">
        <is>
          <t>6:30pm-8pm</t>
        </is>
      </c>
      <c r="G94" s="23" t="inlineStr">
        <is>
          <t>Doubles pickleball Wednesday 6:30-8pm at the Maple Valley public courts, free, with 3 other keen players. They're a similar-age group who also like watching sports.</t>
        </is>
      </c>
      <c r="H94" s="23" t="inlineStr">
        <is>
          <t>nothing in the profile conflicts with it</t>
        </is>
      </c>
      <c r="I94" s="24" t="inlineStr">
        <is>
          <t>YES</t>
        </is>
      </c>
      <c r="J94" s="23" t="inlineStr">
        <is>
          <t>-</t>
        </is>
      </c>
      <c r="K94" s="23" t="inlineStr">
        <is>
          <t>Quinn's free Wednesday evening and loves pickleball - free doubles at Maple Valley courts 6:30-8pm sounds great, count them in!</t>
        </is>
      </c>
      <c r="L94" s="24" t="inlineStr">
        <is>
          <t>Yes</t>
        </is>
      </c>
      <c r="M94" s="25" t="n"/>
      <c r="N94" s="26" t="inlineStr">
        <is>
          <t>#267 ask, #268 call, #284 reply</t>
        </is>
      </c>
    </row>
    <row r="95" ht="42" customHeight="1">
      <c r="A95" s="23" t="inlineStr">
        <is>
          <t>T1 2026-10-28/g3</t>
        </is>
      </c>
      <c r="B95" s="23" t="inlineStr">
        <is>
          <t>T1</t>
        </is>
      </c>
      <c r="C95" s="23" t="inlineStr">
        <is>
          <t>Pickleball doubles</t>
        </is>
      </c>
      <c r="D95" s="23" t="inlineStr">
        <is>
          <t>e113 Seo-yeon L.</t>
        </is>
      </c>
      <c r="E95" s="24" t="n">
        <v>1</v>
      </c>
      <c r="F95" s="23" t="inlineStr">
        <is>
          <t>6:30pm-8pm</t>
        </is>
      </c>
      <c r="G95" s="23" t="inlineStr">
        <is>
          <t>Wednesday 6:30-8pm: pickleball doubles at the Maple Valley public courts, free, a foursome including you. You love pickleball and sports, and so do the others.</t>
        </is>
      </c>
      <c r="H95" s="23" t="inlineStr">
        <is>
          <t>nothing in the profile conflicts with it</t>
        </is>
      </c>
      <c r="I95" s="24" t="inlineStr">
        <is>
          <t>YES</t>
        </is>
      </c>
      <c r="J95" s="23" t="inlineStr">
        <is>
          <t>-</t>
        </is>
      </c>
      <c r="K95" s="23" t="inlineStr">
        <is>
          <t>Wednesday 6:30-8pm pickleball doubles sounds great—free, early evening, and right up Seo-yeon's alley. Count her in!</t>
        </is>
      </c>
      <c r="L95" s="24" t="inlineStr">
        <is>
          <t>Yes</t>
        </is>
      </c>
      <c r="M95" s="25" t="n"/>
      <c r="N95" s="26" t="inlineStr">
        <is>
          <t>#272 ask, #273 call, #289 reply</t>
        </is>
      </c>
    </row>
    <row r="96" ht="42" customHeight="1">
      <c r="A96" s="23" t="inlineStr">
        <is>
          <t>T1 2026-10-28/g3</t>
        </is>
      </c>
      <c r="B96" s="23" t="inlineStr">
        <is>
          <t>T1</t>
        </is>
      </c>
      <c r="C96" s="23" t="inlineStr">
        <is>
          <t>Pickleball doubles</t>
        </is>
      </c>
      <c r="D96" s="23" t="inlineStr">
        <is>
          <t>e058 Brooke B.</t>
        </is>
      </c>
      <c r="E96" s="24" t="n">
        <v>1</v>
      </c>
      <c r="F96" s="23" t="inlineStr">
        <is>
          <t>6:30pm-8pm</t>
        </is>
      </c>
      <c r="G96" s="23" t="inlineStr">
        <is>
          <t>Pickleball doubles this Wednesday 6:30-8pm at the public courts in Maple Valley, free, with 3 other enthusiastic players. It's a good mix for competitive but friendly games.</t>
        </is>
      </c>
      <c r="H96" s="23" t="inlineStr">
        <is>
          <t>nothing in the profile conflicts with it</t>
        </is>
      </c>
      <c r="I96" s="24" t="inlineStr">
        <is>
          <t>YES</t>
        </is>
      </c>
      <c r="J96" s="23" t="inlineStr">
        <is>
          <t>-</t>
        </is>
      </c>
      <c r="K96" s="23" t="inlineStr">
        <is>
          <t>Brooke's free Wednesday evening and loves pickleball—sign them up for the doubles session in Maple Valley, 6:30-8pm works great.</t>
        </is>
      </c>
      <c r="L96" s="24" t="inlineStr">
        <is>
          <t>Yes</t>
        </is>
      </c>
      <c r="M96" s="25" t="n"/>
      <c r="N96" s="26" t="inlineStr">
        <is>
          <t>#277 ask, #278 call, #294 reply</t>
        </is>
      </c>
    </row>
    <row r="97" ht="42" customHeight="1">
      <c r="A97" s="23" t="inlineStr">
        <is>
          <t>T1 2026-10-28/g4</t>
        </is>
      </c>
      <c r="B97" s="23" t="inlineStr">
        <is>
          <t>T1</t>
        </is>
      </c>
      <c r="C97" s="23" t="inlineStr">
        <is>
          <t>Franklin ghost town hike</t>
        </is>
      </c>
      <c r="D97" s="23" t="inlineStr">
        <is>
          <t>e124 Wei T.</t>
        </is>
      </c>
      <c r="E97" s="24" t="n">
        <v>1</v>
      </c>
      <c r="F97" s="23" t="inlineStr">
        <is>
          <t>9am-11:30am</t>
        </is>
      </c>
      <c r="G97" s="23" t="inlineStr">
        <is>
          <t>Franklin ghost town hike Wednesday 9-11:30am on Green River Gorge Rd, free, with 3 other neighbors. It's a great one for photography, and another photo fan is coming along.</t>
        </is>
      </c>
      <c r="H97" s="23" t="inlineStr">
        <is>
          <t>nothing in the profile conflicts with it</t>
        </is>
      </c>
      <c r="I97" s="24" t="inlineStr">
        <is>
          <t>YES</t>
        </is>
      </c>
      <c r="J97" s="23" t="inlineStr">
        <is>
          <t>-</t>
        </is>
      </c>
      <c r="K97" s="23" t="inlineStr">
        <is>
          <t>This sounds great—Wednesday morning works, hiking and photography are right up Wei's alley, it's free, and a small neighbor group beats a crowd. Count Wei in!</t>
        </is>
      </c>
      <c r="L97" s="24" t="inlineStr">
        <is>
          <t>Yes</t>
        </is>
      </c>
      <c r="M97" s="25" t="n"/>
      <c r="N97" s="26" t="inlineStr">
        <is>
          <t>#282 ask, #283 call, #299 reply</t>
        </is>
      </c>
    </row>
    <row r="98" ht="55" customHeight="1">
      <c r="A98" s="23" t="inlineStr">
        <is>
          <t>T1 2026-10-28/g4</t>
        </is>
      </c>
      <c r="B98" s="23" t="inlineStr">
        <is>
          <t>T1</t>
        </is>
      </c>
      <c r="C98" s="23" t="inlineStr">
        <is>
          <t>Franklin ghost town hike</t>
        </is>
      </c>
      <c r="D98" s="23" t="inlineStr">
        <is>
          <t>e116 Claire L.</t>
        </is>
      </c>
      <c r="E98" s="24" t="n">
        <v>1</v>
      </c>
      <c r="F98" s="23" t="inlineStr">
        <is>
          <t>9am-11:30am</t>
        </is>
      </c>
      <c r="G98" s="23" t="inlineStr">
        <is>
          <t>Wednesday 9-11:30am: a hike to the Franklin ghost town on Green River Gorge Rd, free, with 3 other neighbors. With your love of history, the old mining-town remains should be a treat, and another history buff is in the group.</t>
        </is>
      </c>
      <c r="H98" s="23" t="inlineStr">
        <is>
          <t>nothing in the profile conflicts with it</t>
        </is>
      </c>
      <c r="I98" s="24" t="inlineStr">
        <is>
          <t>YES</t>
        </is>
      </c>
      <c r="J98" s="23" t="inlineStr">
        <is>
          <t>-</t>
        </is>
      </c>
      <c r="K98" s="23" t="inlineStr">
        <is>
          <t>Claire's free Wednesday morning and loves history—exploring the Franklin ghost town remains sounds like a great fit, especially with another history buff along. Count her in for 9-11:30am.</t>
        </is>
      </c>
      <c r="L98" s="24" t="inlineStr">
        <is>
          <t>Yes</t>
        </is>
      </c>
      <c r="M98" s="25" t="n"/>
      <c r="N98" s="26" t="inlineStr">
        <is>
          <t>#287 ask, #288 call, #304 reply</t>
        </is>
      </c>
    </row>
    <row r="99" ht="42" customHeight="1">
      <c r="A99" s="23" t="inlineStr">
        <is>
          <t>T1 2026-10-28/g4</t>
        </is>
      </c>
      <c r="B99" s="23" t="inlineStr">
        <is>
          <t>T1</t>
        </is>
      </c>
      <c r="C99" s="23" t="inlineStr">
        <is>
          <t>Franklin ghost town hike</t>
        </is>
      </c>
      <c r="D99" s="23" t="inlineStr">
        <is>
          <t>e055 Ryan M.</t>
        </is>
      </c>
      <c r="E99" s="24" t="n">
        <v>1</v>
      </c>
      <c r="F99" s="23" t="inlineStr">
        <is>
          <t>9am-11:30am</t>
        </is>
      </c>
      <c r="G99" s="23" t="inlineStr">
        <is>
          <t>Join a Franklin ghost town hike Wednesday 9-11:30am on Green River Gorge Rd, free, with 3 others. History is a big interest for you, and a fellow history enthusiast is coming too.</t>
        </is>
      </c>
      <c r="H99" s="23" t="inlineStr">
        <is>
          <t>nothing in the profile conflicts with it</t>
        </is>
      </c>
      <c r="I99" s="24" t="inlineStr">
        <is>
          <t>YES</t>
        </is>
      </c>
      <c r="J99" s="23" t="inlineStr">
        <is>
          <t>-</t>
        </is>
      </c>
      <c r="K99" s="23" t="inlineStr">
        <is>
          <t>Ryan's free Wednesday morning, loves history, and it's free with a small neighborly group — this sounds like a great fit. He's in!</t>
        </is>
      </c>
      <c r="L99" s="24" t="inlineStr">
        <is>
          <t>Yes</t>
        </is>
      </c>
      <c r="M99" s="25" t="n"/>
      <c r="N99" s="26" t="inlineStr">
        <is>
          <t>#292 ask, #293 call, #309 reply</t>
        </is>
      </c>
    </row>
    <row r="100" ht="42" customHeight="1">
      <c r="A100" s="23" t="inlineStr">
        <is>
          <t>T1 2026-10-28/g4</t>
        </is>
      </c>
      <c r="B100" s="23" t="inlineStr">
        <is>
          <t>T1</t>
        </is>
      </c>
      <c r="C100" s="23" t="inlineStr">
        <is>
          <t>Franklin ghost town hike</t>
        </is>
      </c>
      <c r="D100" s="23" t="inlineStr">
        <is>
          <t>e100 Nora W.</t>
        </is>
      </c>
      <c r="E100" s="24" t="n">
        <v>1</v>
      </c>
      <c r="F100" s="23" t="inlineStr">
        <is>
          <t>9am-11:30am</t>
        </is>
      </c>
      <c r="G100" s="23" t="inlineStr">
        <is>
          <t>Franklin ghost town hike Wednesday 9-11:30am on Green River Gorge Rd, free, a group of 4 including you. You enjoy hiking and photography, and this is a scenic, unusual spot.</t>
        </is>
      </c>
      <c r="H100" s="23" t="inlineStr">
        <is>
          <t>nothing in the profile conflicts with it</t>
        </is>
      </c>
      <c r="I100" s="24" t="inlineStr">
        <is>
          <t>YES</t>
        </is>
      </c>
      <c r="J100" s="23" t="inlineStr">
        <is>
          <t>-</t>
        </is>
      </c>
      <c r="K100" s="23" t="inlineStr">
        <is>
          <t>Wednesday morning works great for Nora — she loves hiking and photography, and a free scenic hike with neighbors sounds perfect. Count her in!</t>
        </is>
      </c>
      <c r="L100" s="24" t="inlineStr">
        <is>
          <t>Yes</t>
        </is>
      </c>
      <c r="M100" s="25" t="n"/>
      <c r="N100" s="26" t="inlineStr">
        <is>
          <t>#297 ask, #298 call, #324 reply</t>
        </is>
      </c>
    </row>
    <row r="101" ht="42" customHeight="1">
      <c r="A101" s="23" t="inlineStr">
        <is>
          <t>T1 2026-10-28/g5</t>
        </is>
      </c>
      <c r="B101" s="23" t="inlineStr">
        <is>
          <t>T1</t>
        </is>
      </c>
      <c r="C101" s="23" t="inlineStr">
        <is>
          <t>Coffee and pastries at the Black Diamond Bakery</t>
        </is>
      </c>
      <c r="D101" s="23" t="inlineStr">
        <is>
          <t>e008 Andres G.</t>
        </is>
      </c>
      <c r="E101" s="24" t="n">
        <v>1</v>
      </c>
      <c r="F101" s="23" t="inlineStr">
        <is>
          <t>8:30am-10am</t>
        </is>
      </c>
      <c r="G101" s="23" t="inlineStr">
        <is>
          <t>Coffee and pastries Wednesday 8:30-10am at the Black Diamond Bakery, low cost, with 3 other neighbors. You love coffee and baking, and everyone here bakes too.</t>
        </is>
      </c>
      <c r="H101" s="23" t="inlineStr">
        <is>
          <t>nothing in the profile conflicts with it</t>
        </is>
      </c>
      <c r="I101" s="24" t="inlineStr">
        <is>
          <t>YES</t>
        </is>
      </c>
      <c r="J101" s="23" t="inlineStr">
        <is>
          <t>-</t>
        </is>
      </c>
      <c r="K101" s="23" t="inlineStr">
        <is>
          <t>Wednesday morning works great for Andres — he's free then and loves coffee and baking, so coffee and pastries with neighbors at Black Diamond Bakery is a solid yes.</t>
        </is>
      </c>
      <c r="L101" s="24" t="inlineStr">
        <is>
          <t>Yes</t>
        </is>
      </c>
      <c r="M101" s="25" t="n"/>
      <c r="N101" s="26" t="inlineStr">
        <is>
          <t>#302 ask, #303 call, #319 reply</t>
        </is>
      </c>
    </row>
    <row r="102" ht="42" customHeight="1">
      <c r="A102" s="23" t="inlineStr">
        <is>
          <t>T1 2026-10-28/g5</t>
        </is>
      </c>
      <c r="B102" s="23" t="inlineStr">
        <is>
          <t>T1</t>
        </is>
      </c>
      <c r="C102" s="23" t="inlineStr">
        <is>
          <t>Coffee and pastries at the Black Diamond Bakery</t>
        </is>
      </c>
      <c r="D102" s="23" t="inlineStr">
        <is>
          <t>e008 Andres G.</t>
        </is>
      </c>
      <c r="E102" s="24" t="n">
        <v>2</v>
      </c>
      <c r="F102" s="23" t="inlineStr">
        <is>
          <t>9:30am-10:30am</t>
        </is>
      </c>
      <c r="G102" s="23" t="inlineStr">
        <is>
          <t>Small change to Wednesday's coffee and pastries at the Black Diamond Bakery: we'd like to move it to 9:30am-10:30am instead of 8:30am-10am. Does that still work for Andres?</t>
        </is>
      </c>
      <c r="H102" s="23" t="inlineStr">
        <is>
          <t>nothing in the profile conflicts with it</t>
        </is>
      </c>
      <c r="I102" s="24" t="inlineStr">
        <is>
          <t>YES</t>
        </is>
      </c>
      <c r="J102" s="23" t="inlineStr">
        <is>
          <t>-</t>
        </is>
      </c>
      <c r="K102" s="23" t="inlineStr">
        <is>
          <t>Wednesday morning is free for Andres, coffee and pastries at a low cost fits his budget and tastes, so 9:30-10:30am works great.</t>
        </is>
      </c>
      <c r="L102" s="24" t="inlineStr">
        <is>
          <t>Yes</t>
        </is>
      </c>
      <c r="M102" s="25" t="n"/>
      <c r="N102" s="26" t="inlineStr">
        <is>
          <t>#451 ask, #452 call, #465 reply</t>
        </is>
      </c>
    </row>
    <row r="103" ht="42" customHeight="1">
      <c r="A103" s="23" t="inlineStr">
        <is>
          <t>T1 2026-10-28/g5</t>
        </is>
      </c>
      <c r="B103" s="23" t="inlineStr">
        <is>
          <t>T1</t>
        </is>
      </c>
      <c r="C103" s="23" t="inlineStr">
        <is>
          <t>Coffee and pastries at the Black Diamond Bakery</t>
        </is>
      </c>
      <c r="D103" s="23" t="inlineStr">
        <is>
          <t>e035 Mark C.</t>
        </is>
      </c>
      <c r="E103" s="24" t="n">
        <v>1</v>
      </c>
      <c r="F103" s="23" t="inlineStr">
        <is>
          <t>8:30am-10am</t>
        </is>
      </c>
      <c r="G103" s="23" t="inlineStr">
        <is>
          <t>Wednesday 8:30-10am: coffee and pastries at the Black Diamond Bakery, low cost, with 3 other neighbors. You're a coffee lover, and this group is into baking and family life.</t>
        </is>
      </c>
      <c r="H103" s="23" t="inlineStr">
        <is>
          <t>nothing in the profile conflicts with it</t>
        </is>
      </c>
      <c r="I103" s="24" t="inlineStr">
        <is>
          <t>YES</t>
        </is>
      </c>
      <c r="J103" s="23" t="inlineStr">
        <is>
          <t>-</t>
        </is>
      </c>
      <c r="K103" s="23" t="inlineStr">
        <is>
          <t>This fits perfectly - Wednesday morning is free, coffee and baked goods align with Mark's love of coffee and baking, it's low-cost, and a casual neighbor meetup sounds great. Let's do it.</t>
        </is>
      </c>
      <c r="L103" s="24" t="inlineStr">
        <is>
          <t>Yes</t>
        </is>
      </c>
      <c r="M103" s="25" t="n"/>
      <c r="N103" s="26" t="inlineStr">
        <is>
          <t>#307 ask, #308 call, #314 reply</t>
        </is>
      </c>
    </row>
    <row r="104" ht="42" customHeight="1">
      <c r="A104" s="23" t="inlineStr">
        <is>
          <t>T1 2026-10-28/g5</t>
        </is>
      </c>
      <c r="B104" s="23" t="inlineStr">
        <is>
          <t>T1</t>
        </is>
      </c>
      <c r="C104" s="23" t="inlineStr">
        <is>
          <t>Coffee and pastries at the Black Diamond Bakery</t>
        </is>
      </c>
      <c r="D104" s="23" t="inlineStr">
        <is>
          <t>e035 Mark C.</t>
        </is>
      </c>
      <c r="E104" s="24" t="n">
        <v>2</v>
      </c>
      <c r="F104" s="23" t="inlineStr">
        <is>
          <t>9:30am-10:30am</t>
        </is>
      </c>
      <c r="G104" s="23" t="inlineStr">
        <is>
          <t>Small change to Wednesday's coffee and pastries at the Black Diamond Bakery: we'd like to move it to 9:30am-10:30am instead of 8:30am-10am. Does that still work for Mark?</t>
        </is>
      </c>
      <c r="H104" s="23" t="inlineStr">
        <is>
          <t>nothing in the profile conflicts with it</t>
        </is>
      </c>
      <c r="I104" s="24" t="inlineStr">
        <is>
          <t>YES</t>
        </is>
      </c>
      <c r="J104" s="23" t="inlineStr">
        <is>
          <t>-</t>
        </is>
      </c>
      <c r="K104" s="23" t="inlineStr">
        <is>
          <t>9:30-10:30am Wednesday works well for Mark — coffee and pastries fits his free morning, his love of coffee/baking, and his budget. Let's lock it in.</t>
        </is>
      </c>
      <c r="L104" s="24" t="inlineStr">
        <is>
          <t>Yes</t>
        </is>
      </c>
      <c r="M104" s="25" t="n"/>
      <c r="N104" s="26" t="inlineStr">
        <is>
          <t>#457 ask, #458 call, #481 reply</t>
        </is>
      </c>
    </row>
    <row r="105" ht="68" customHeight="1">
      <c r="A105" s="23" t="inlineStr">
        <is>
          <t>T1 2026-10-28/g5</t>
        </is>
      </c>
      <c r="B105" s="23" t="inlineStr">
        <is>
          <t>T1</t>
        </is>
      </c>
      <c r="C105" s="23" t="inlineStr">
        <is>
          <t>Coffee and pastries at the Black Diamond Bakery</t>
        </is>
      </c>
      <c r="D105" s="23" t="inlineStr">
        <is>
          <t>e127 Chris W.</t>
        </is>
      </c>
      <c r="E105" s="24" t="n">
        <v>1</v>
      </c>
      <c r="F105" s="23" t="inlineStr">
        <is>
          <t>8:30am-10am</t>
        </is>
      </c>
      <c r="G105" s="23" t="inlineStr">
        <is>
          <t>Coffee and pastries this Wednesday 8:30-10am at the Black Diamond Bakery, low cost, small group of 4. Baking is a big one for you, and you'll be with fellow bakers and parents.</t>
        </is>
      </c>
      <c r="H105" s="23" t="inlineStr">
        <is>
          <t>It starts before 9am, and Chris avoids early mornings.</t>
        </is>
      </c>
      <c r="I105" s="24" t="inlineStr">
        <is>
          <t>COUNTER</t>
        </is>
      </c>
      <c r="J105" s="23" t="inlineStr">
        <is>
          <t>Move the start to 9:30-10:30am that same Wednesday morning, still within the free morning slot but outside the early-morning window Chris avoids.</t>
        </is>
      </c>
      <c r="K105" s="23" t="inlineStr">
        <is>
          <t>Chris loves this idea — coffee, pastries, and baking folks is right up his alley — but 8:30am is too early for him. Could we shift it to a 9:30-10:30am start instead?</t>
        </is>
      </c>
      <c r="L105" s="24" t="inlineStr">
        <is>
          <t>Yes</t>
        </is>
      </c>
      <c r="M105" s="25" t="n"/>
      <c r="N105" s="26" t="inlineStr">
        <is>
          <t>#312 ask, #313 call, #334 reply</t>
        </is>
      </c>
    </row>
    <row r="106" ht="42" customHeight="1">
      <c r="A106" s="23" t="inlineStr">
        <is>
          <t>T1 2026-10-28/g5</t>
        </is>
      </c>
      <c r="B106" s="23" t="inlineStr">
        <is>
          <t>T1</t>
        </is>
      </c>
      <c r="C106" s="23" t="inlineStr">
        <is>
          <t>Coffee and pastries at the Black Diamond Bakery</t>
        </is>
      </c>
      <c r="D106" s="23" t="inlineStr">
        <is>
          <t>e127 Chris W.</t>
        </is>
      </c>
      <c r="E106" s="24" t="n">
        <v>2</v>
      </c>
      <c r="F106" s="23" t="inlineStr">
        <is>
          <t>9:30am-10:30am</t>
        </is>
      </c>
      <c r="G106" s="23" t="inlineStr">
        <is>
          <t>We're moving Wednesday's bakery coffee to 9:30am-10:30am as Chris suggested. I'm checking with the others now. Can you confirm Chris is in at that time?</t>
        </is>
      </c>
      <c r="H106" s="23" t="inlineStr">
        <is>
          <t>nothing in the profile conflicts with it</t>
        </is>
      </c>
      <c r="I106" s="24" t="inlineStr">
        <is>
          <t>YES</t>
        </is>
      </c>
      <c r="J106" s="23" t="inlineStr">
        <is>
          <t>-</t>
        </is>
      </c>
      <c r="K106" s="23" t="inlineStr">
        <is>
          <t>9:30am works well for Chris—coffee and pastries at the bakery sounds great, count Chris in!</t>
        </is>
      </c>
      <c r="L106" s="24" t="inlineStr">
        <is>
          <t>Yes</t>
        </is>
      </c>
      <c r="M106" s="25" t="n"/>
      <c r="N106" s="26" t="inlineStr">
        <is>
          <t>#469 ask, #470 call, #487 reply</t>
        </is>
      </c>
    </row>
    <row r="107" ht="42" customHeight="1">
      <c r="A107" s="23" t="inlineStr">
        <is>
          <t>T1 2026-10-28/g5</t>
        </is>
      </c>
      <c r="B107" s="23" t="inlineStr">
        <is>
          <t>T1</t>
        </is>
      </c>
      <c r="C107" s="23" t="inlineStr">
        <is>
          <t>Coffee and pastries at the Black Diamond Bakery</t>
        </is>
      </c>
      <c r="D107" s="23" t="inlineStr">
        <is>
          <t>e047 Brian O.</t>
        </is>
      </c>
      <c r="E107" s="24" t="n">
        <v>1</v>
      </c>
      <c r="F107" s="23" t="inlineStr">
        <is>
          <t>8:30am-10am</t>
        </is>
      </c>
      <c r="G107" s="23" t="inlineStr">
        <is>
          <t>Join 3 other neighbors for coffee and pastries Wednesday 8:30-10am at the Black Diamond Bakery, low cost. You love baking, and so does everyone at this table.</t>
        </is>
      </c>
      <c r="H107" s="23" t="inlineStr">
        <is>
          <t>nothing in the profile conflicts with it</t>
        </is>
      </c>
      <c r="I107" s="24" t="inlineStr">
        <is>
          <t>YES</t>
        </is>
      </c>
      <c r="J107" s="23" t="inlineStr">
        <is>
          <t>-</t>
        </is>
      </c>
      <c r="K107" s="23" t="inlineStr">
        <is>
          <t>Brian's free Wednesday morning and loves all things baking-related, so coffee and pastries at Black Diamond Bakery sounds perfect. Count him in!</t>
        </is>
      </c>
      <c r="L107" s="24" t="inlineStr">
        <is>
          <t>Yes</t>
        </is>
      </c>
      <c r="M107" s="25" t="n"/>
      <c r="N107" s="26" t="inlineStr">
        <is>
          <t>#317 ask, #318 call, #329 reply</t>
        </is>
      </c>
    </row>
    <row r="108" ht="42" customHeight="1">
      <c r="A108" s="23" t="inlineStr">
        <is>
          <t>T1 2026-10-28/g5</t>
        </is>
      </c>
      <c r="B108" s="23" t="inlineStr">
        <is>
          <t>T1</t>
        </is>
      </c>
      <c r="C108" s="23" t="inlineStr">
        <is>
          <t>Coffee and pastries at the Black Diamond Bakery</t>
        </is>
      </c>
      <c r="D108" s="23" t="inlineStr">
        <is>
          <t>e047 Brian O.</t>
        </is>
      </c>
      <c r="E108" s="24" t="n">
        <v>2</v>
      </c>
      <c r="F108" s="23" t="inlineStr">
        <is>
          <t>9:30am-10:30am</t>
        </is>
      </c>
      <c r="G108" s="23" t="inlineStr">
        <is>
          <t>Small change to Wednesday's coffee and pastries at the Black Diamond Bakery: we'd like to move it to 9:30am-10:30am instead of 8:30am-10am. Does that still work for Brian?</t>
        </is>
      </c>
      <c r="H108" s="23" t="inlineStr">
        <is>
          <t>nothing in the profile conflicts with it</t>
        </is>
      </c>
      <c r="I108" s="24" t="inlineStr">
        <is>
          <t>YES</t>
        </is>
      </c>
      <c r="J108" s="23" t="inlineStr">
        <is>
          <t>-</t>
        </is>
      </c>
      <c r="K108" s="23" t="inlineStr">
        <is>
          <t>Wednesday morning is free for Brian, and coffee and pastries at a bakery sounds great given his love of baking. 9:30-10:30am works well.</t>
        </is>
      </c>
      <c r="L108" s="24" t="inlineStr">
        <is>
          <t>Yes</t>
        </is>
      </c>
      <c r="M108" s="25" t="n"/>
      <c r="N108" s="26" t="inlineStr">
        <is>
          <t>#463 ask, #464 call, #471 reply</t>
        </is>
      </c>
    </row>
    <row r="109" ht="42" customHeight="1">
      <c r="A109" s="23" t="inlineStr">
        <is>
          <t>T1 2026-10-28/g6</t>
        </is>
      </c>
      <c r="B109" s="23" t="inlineStr">
        <is>
          <t>T1</t>
        </is>
      </c>
      <c r="C109" s="23" t="inlineStr">
        <is>
          <t>Early fishing on Lake Sawyer</t>
        </is>
      </c>
      <c r="D109" s="23" t="inlineStr">
        <is>
          <t>e069 Noah P.</t>
        </is>
      </c>
      <c r="E109" s="24" t="n">
        <v>1</v>
      </c>
      <c r="F109" s="23" t="inlineStr">
        <is>
          <t>8am-10:30am</t>
        </is>
      </c>
      <c r="G109" s="23" t="inlineStr">
        <is>
          <t>Early fishing on Lake Sawyer Wednesday 8-10:30am at Lake Sawyer Regional Park, free, with 3 other retirees who love fishing as much as you do.</t>
        </is>
      </c>
      <c r="H109" s="23" t="inlineStr">
        <is>
          <t>nothing in the profile conflicts with it</t>
        </is>
      </c>
      <c r="I109" s="24" t="inlineStr">
        <is>
          <t>YES</t>
        </is>
      </c>
      <c r="J109" s="23" t="inlineStr">
        <is>
          <t>-</t>
        </is>
      </c>
      <c r="K109" s="23" t="inlineStr">
        <is>
          <t>This is a great fit—Noah loves fishing, it's free, Wednesday morning is open, and he'd enjoy meeting fellow retiree anglers. Count him in!</t>
        </is>
      </c>
      <c r="L109" s="24" t="inlineStr">
        <is>
          <t>Yes</t>
        </is>
      </c>
      <c r="M109" s="25" t="n"/>
      <c r="N109" s="26" t="inlineStr">
        <is>
          <t>#322 ask, #323 call, #339 reply</t>
        </is>
      </c>
    </row>
    <row r="110" ht="42" customHeight="1">
      <c r="A110" s="23" t="inlineStr">
        <is>
          <t>T1 2026-10-28/g6</t>
        </is>
      </c>
      <c r="B110" s="23" t="inlineStr">
        <is>
          <t>T1</t>
        </is>
      </c>
      <c r="C110" s="23" t="inlineStr">
        <is>
          <t>Early fishing on Lake Sawyer</t>
        </is>
      </c>
      <c r="D110" s="23" t="inlineStr">
        <is>
          <t>e186 Liam M.</t>
        </is>
      </c>
      <c r="E110" s="24" t="n">
        <v>1</v>
      </c>
      <c r="F110" s="23" t="inlineStr">
        <is>
          <t>8am-10:30am</t>
        </is>
      </c>
      <c r="G110" s="23" t="inlineStr">
        <is>
          <t>Wednesday 8-10:30am: fishing on Lake Sawyer at the regional park, free, with 3 other keen anglers. Several of them also enjoy crafts, so there's more to chat about than the catch.</t>
        </is>
      </c>
      <c r="H110" s="23" t="inlineStr">
        <is>
          <t>nothing in the profile conflicts with it</t>
        </is>
      </c>
      <c r="I110" s="24" t="inlineStr">
        <is>
          <t>YES</t>
        </is>
      </c>
      <c r="J110" s="23" t="inlineStr">
        <is>
          <t>-</t>
        </is>
      </c>
      <c r="K110" s="23" t="inlineStr">
        <is>
          <t>This is perfect for Liam — free morning fishing on Wednesday fits his schedule, his love of fishing, and even connects with folks who share his interest in crafts. Count him in!</t>
        </is>
      </c>
      <c r="L110" s="24" t="inlineStr">
        <is>
          <t>Yes</t>
        </is>
      </c>
      <c r="M110" s="25" t="n"/>
      <c r="N110" s="26" t="inlineStr">
        <is>
          <t>#327 ask, #328 call, #344 reply</t>
        </is>
      </c>
    </row>
    <row r="111" ht="42" customHeight="1">
      <c r="A111" s="23" t="inlineStr">
        <is>
          <t>T1 2026-10-28/g6</t>
        </is>
      </c>
      <c r="B111" s="23" t="inlineStr">
        <is>
          <t>T1</t>
        </is>
      </c>
      <c r="C111" s="23" t="inlineStr">
        <is>
          <t>Early fishing on Lake Sawyer</t>
        </is>
      </c>
      <c r="D111" s="23" t="inlineStr">
        <is>
          <t>e025 Isabel R.</t>
        </is>
      </c>
      <c r="E111" s="24" t="n">
        <v>1</v>
      </c>
      <c r="F111" s="23" t="inlineStr">
        <is>
          <t>8am-10:30am</t>
        </is>
      </c>
      <c r="G111" s="23" t="inlineStr">
        <is>
          <t>Morning fishing at Lake Sawyer Regional Park Wednesday 8-10:30am, free, a group of 4 including you. They're fellow retirees who rate fishing highly, and a couple also like crafts.</t>
        </is>
      </c>
      <c r="H111" s="23" t="inlineStr">
        <is>
          <t>nothing in the profile conflicts with it</t>
        </is>
      </c>
      <c r="I111" s="24" t="inlineStr">
        <is>
          <t>YES</t>
        </is>
      </c>
      <c r="J111" s="23" t="inlineStr">
        <is>
          <t>-</t>
        </is>
      </c>
      <c r="K111" s="23" t="inlineStr">
        <is>
          <t>This is a great fit—Isabel loves fishing, it's free, in her free Wednesday morning slot, and a quiet small group of fellow retirees who also enjoy fishing and crafts sounds perfect for her.</t>
        </is>
      </c>
      <c r="L111" s="24" t="inlineStr">
        <is>
          <t>Yes</t>
        </is>
      </c>
      <c r="M111" s="25" t="n"/>
      <c r="N111" s="26" t="inlineStr">
        <is>
          <t>#332 ask, #333 call, #354 reply</t>
        </is>
      </c>
    </row>
    <row r="112" ht="42" customHeight="1">
      <c r="A112" s="23" t="inlineStr">
        <is>
          <t>T1 2026-10-28/g6</t>
        </is>
      </c>
      <c r="B112" s="23" t="inlineStr">
        <is>
          <t>T1</t>
        </is>
      </c>
      <c r="C112" s="23" t="inlineStr">
        <is>
          <t>Early fishing on Lake Sawyer</t>
        </is>
      </c>
      <c r="D112" s="23" t="inlineStr">
        <is>
          <t>e190 Tom O.</t>
        </is>
      </c>
      <c r="E112" s="24" t="n">
        <v>1</v>
      </c>
      <c r="F112" s="23" t="inlineStr">
        <is>
          <t>8am-10:30am</t>
        </is>
      </c>
      <c r="G112" s="23" t="inlineStr">
        <is>
          <t>Join an early fishing session on Lake Sawyer Wednesday 8-10:30am at the regional park, free, with 3 other retirees. Fishing is your top interest, and theirs too.</t>
        </is>
      </c>
      <c r="H112" s="23" t="inlineStr">
        <is>
          <t>nothing in the profile conflicts with it</t>
        </is>
      </c>
      <c r="I112" s="24" t="inlineStr">
        <is>
          <t>YES</t>
        </is>
      </c>
      <c r="J112" s="23" t="inlineStr">
        <is>
          <t>-</t>
        </is>
      </c>
      <c r="K112" s="23" t="inlineStr">
        <is>
          <t>This is perfect—Tom loves fishing, Wednesday morning is free, and he'd enjoy the company of fellow retirees at Lake Sawyer. Count him in!</t>
        </is>
      </c>
      <c r="L112" s="24" t="inlineStr">
        <is>
          <t>Yes</t>
        </is>
      </c>
      <c r="M112" s="25" t="n"/>
      <c r="N112" s="26" t="inlineStr">
        <is>
          <t>#337 ask, #338 call, #349 reply</t>
        </is>
      </c>
    </row>
    <row r="113" ht="42" customHeight="1">
      <c r="A113" s="23" t="inlineStr">
        <is>
          <t>T1 2026-10-28/g7</t>
        </is>
      </c>
      <c r="B113" s="23" t="inlineStr">
        <is>
          <t>T1</t>
        </is>
      </c>
      <c r="C113" s="23" t="inlineStr">
        <is>
          <t>Paddle Lake Sawyer</t>
        </is>
      </c>
      <c r="D113" s="23" t="inlineStr">
        <is>
          <t>e012 Emma R.</t>
        </is>
      </c>
      <c r="E113" s="24" t="n">
        <v>1</v>
      </c>
      <c r="F113" s="23" t="inlineStr">
        <is>
          <t>9:30am-11:30am</t>
        </is>
      </c>
      <c r="G113" s="23" t="inlineStr">
        <is>
          <t>Paddle Lake Sawyer Wednesday 9:30-11:30am from the Lake Sawyer Regional Park boat launch, low cost, with 3 others. You love kayaking, and so does the whole group.</t>
        </is>
      </c>
      <c r="H113" s="23" t="inlineStr">
        <is>
          <t>nothing in the profile conflicts with it</t>
        </is>
      </c>
      <c r="I113" s="24" t="inlineStr">
        <is>
          <t>YES</t>
        </is>
      </c>
      <c r="J113" s="23" t="inlineStr">
        <is>
          <t>-</t>
        </is>
      </c>
      <c r="K113" s="23" t="inlineStr">
        <is>
          <t>Emma's free Wednesday morning and loves kayaking - paddling Lake Sawyer with a small neighbor group at low cost sounds perfect. Count her in!</t>
        </is>
      </c>
      <c r="L113" s="24" t="inlineStr">
        <is>
          <t>Yes</t>
        </is>
      </c>
      <c r="M113" s="25" t="n"/>
      <c r="N113" s="26" t="inlineStr">
        <is>
          <t>#342 ask, #343 call, #359 reply</t>
        </is>
      </c>
    </row>
    <row r="114" ht="42" customHeight="1">
      <c r="A114" s="23" t="inlineStr">
        <is>
          <t>T1 2026-10-28/g7</t>
        </is>
      </c>
      <c r="B114" s="23" t="inlineStr">
        <is>
          <t>T1</t>
        </is>
      </c>
      <c r="C114" s="23" t="inlineStr">
        <is>
          <t>Paddle Lake Sawyer</t>
        </is>
      </c>
      <c r="D114" s="23" t="inlineStr">
        <is>
          <t>e067 Donna M.</t>
        </is>
      </c>
      <c r="E114" s="24" t="n">
        <v>1</v>
      </c>
      <c r="F114" s="23" t="inlineStr">
        <is>
          <t>9:30am-11:30am</t>
        </is>
      </c>
      <c r="G114" s="23" t="inlineStr">
        <is>
          <t>Wednesday 9:30-11:30am: a paddle on Lake Sawyer from the regional park boat launch, low cost, with 3 other kayakers. It's a nice way to get on the water with neighbors.</t>
        </is>
      </c>
      <c r="H114" s="23" t="inlineStr">
        <is>
          <t>nothing in the profile conflicts with it</t>
        </is>
      </c>
      <c r="I114" s="24" t="inlineStr">
        <is>
          <t>YES</t>
        </is>
      </c>
      <c r="J114" s="23" t="inlineStr">
        <is>
          <t>-</t>
        </is>
      </c>
      <c r="K114" s="23" t="inlineStr">
        <is>
          <t>Kayaking on Lake Sawyer Wednesday morning works great for Donna - she loves kayaking and that time is free, and a small group of four isn't the crowd she avoids.</t>
        </is>
      </c>
      <c r="L114" s="24" t="inlineStr">
        <is>
          <t>Yes</t>
        </is>
      </c>
      <c r="M114" s="25" t="n"/>
      <c r="N114" s="26" t="inlineStr">
        <is>
          <t>#347 ask, #348 call, #379 reply</t>
        </is>
      </c>
    </row>
    <row r="115" ht="42" customHeight="1">
      <c r="A115" s="23" t="inlineStr">
        <is>
          <t>T1 2026-10-28/g7</t>
        </is>
      </c>
      <c r="B115" s="23" t="inlineStr">
        <is>
          <t>T1</t>
        </is>
      </c>
      <c r="C115" s="23" t="inlineStr">
        <is>
          <t>Paddle Lake Sawyer</t>
        </is>
      </c>
      <c r="D115" s="23" t="inlineStr">
        <is>
          <t>e023 Claire F.</t>
        </is>
      </c>
      <c r="E115" s="24" t="n">
        <v>1</v>
      </c>
      <c r="F115" s="23" t="inlineStr">
        <is>
          <t>9:30am-11:30am</t>
        </is>
      </c>
      <c r="G115" s="23" t="inlineStr">
        <is>
          <t>Paddle Lake Sawyer this Wednesday 9:30-11:30am from the boat launch, low cost, a group of 4 including you. Kayaking is a top pick for you, and a couple of others share your taste for craft beer too.</t>
        </is>
      </c>
      <c r="H115" s="23" t="inlineStr">
        <is>
          <t>nothing in the profile conflicts with it</t>
        </is>
      </c>
      <c r="I115" s="24" t="inlineStr">
        <is>
          <t>YES</t>
        </is>
      </c>
      <c r="J115" s="23" t="inlineStr">
        <is>
          <t>-</t>
        </is>
      </c>
      <c r="K115" s="23" t="inlineStr">
        <is>
          <t>Claire's free Wednesday morning and kayaking is one of her favorite activities—this sounds great, count her in.</t>
        </is>
      </c>
      <c r="L115" s="24" t="inlineStr">
        <is>
          <t>Yes</t>
        </is>
      </c>
      <c r="M115" s="25" t="n"/>
      <c r="N115" s="26" t="inlineStr">
        <is>
          <t>#352 ask, #353 call, #364 reply</t>
        </is>
      </c>
    </row>
    <row r="116" ht="42" customHeight="1">
      <c r="A116" s="23" t="inlineStr">
        <is>
          <t>T1 2026-10-28/g7</t>
        </is>
      </c>
      <c r="B116" s="23" t="inlineStr">
        <is>
          <t>T1</t>
        </is>
      </c>
      <c r="C116" s="23" t="inlineStr">
        <is>
          <t>Paddle Lake Sawyer</t>
        </is>
      </c>
      <c r="D116" s="23" t="inlineStr">
        <is>
          <t>e130 Amy N.</t>
        </is>
      </c>
      <c r="E116" s="24" t="n">
        <v>1</v>
      </c>
      <c r="F116" s="23" t="inlineStr">
        <is>
          <t>9:30am-11:30am</t>
        </is>
      </c>
      <c r="G116" s="23" t="inlineStr">
        <is>
          <t>Join a Lake Sawyer paddle Wednesday 9:30-11:30am from the regional park boat launch, low cost, with 3 others. You're a keen kayaker, and the group is all paddlers.</t>
        </is>
      </c>
      <c r="H116" s="23" t="inlineStr">
        <is>
          <t>nothing in the profile conflicts with it</t>
        </is>
      </c>
      <c r="I116" s="24" t="inlineStr">
        <is>
          <t>YES</t>
        </is>
      </c>
      <c r="J116" s="23" t="inlineStr">
        <is>
          <t>-</t>
        </is>
      </c>
      <c r="K116" s="23" t="inlineStr">
        <is>
          <t>Wednesday morning works perfectly for Amy's free schedule, kayaking is her favorite activity, and the low cost fits her budget too. She's in!</t>
        </is>
      </c>
      <c r="L116" s="24" t="inlineStr">
        <is>
          <t>Yes</t>
        </is>
      </c>
      <c r="M116" s="25" t="n"/>
      <c r="N116" s="26" t="inlineStr">
        <is>
          <t>#357 ask, #358 call, #369 reply</t>
        </is>
      </c>
    </row>
    <row r="117" ht="42" customHeight="1">
      <c r="A117" s="23" t="inlineStr">
        <is>
          <t>T1 2026-10-28/g8</t>
        </is>
      </c>
      <c r="B117" s="23" t="inlineStr">
        <is>
          <t>T1</t>
        </is>
      </c>
      <c r="C117" s="23" t="inlineStr">
        <is>
          <t>Birding walk at Lake Sawyer</t>
        </is>
      </c>
      <c r="D117" s="23" t="inlineStr">
        <is>
          <t>e038 Ron B.</t>
        </is>
      </c>
      <c r="E117" s="24" t="n">
        <v>1</v>
      </c>
      <c r="F117" s="23" t="inlineStr">
        <is>
          <t>8am-10am</t>
        </is>
      </c>
      <c r="G117" s="23" t="inlineStr">
        <is>
          <t>Birding walk at Lake Sawyer Regional Park Wednesday 8-10am, free, with 2 other neighbors. Birding is one of your favorites, and the others love photography, which suits spotting birds.</t>
        </is>
      </c>
      <c r="H117" s="23" t="inlineStr">
        <is>
          <t>nothing in the profile conflicts with it</t>
        </is>
      </c>
      <c r="I117" s="24" t="inlineStr">
        <is>
          <t>YES</t>
        </is>
      </c>
      <c r="J117" s="23" t="inlineStr">
        <is>
          <t>-</t>
        </is>
      </c>
      <c r="K117" s="23" t="inlineStr">
        <is>
          <t>This is a great fit—Ron loves birding and is free Wednesday morning. Sign him up for the Lake Sawyer walk!</t>
        </is>
      </c>
      <c r="L117" s="24" t="inlineStr">
        <is>
          <t>Yes</t>
        </is>
      </c>
      <c r="M117" s="25" t="n"/>
      <c r="N117" s="26" t="inlineStr">
        <is>
          <t>#362 ask, #363 call, #374 reply</t>
        </is>
      </c>
    </row>
    <row r="118" ht="42" customHeight="1">
      <c r="A118" s="23" t="inlineStr">
        <is>
          <t>T1 2026-10-28/g8</t>
        </is>
      </c>
      <c r="B118" s="23" t="inlineStr">
        <is>
          <t>T1</t>
        </is>
      </c>
      <c r="C118" s="23" t="inlineStr">
        <is>
          <t>Birding walk at Lake Sawyer</t>
        </is>
      </c>
      <c r="D118" s="23" t="inlineStr">
        <is>
          <t>e175 Ava M.</t>
        </is>
      </c>
      <c r="E118" s="24" t="n">
        <v>1</v>
      </c>
      <c r="F118" s="23" t="inlineStr">
        <is>
          <t>8am-10am</t>
        </is>
      </c>
      <c r="G118" s="23" t="inlineStr">
        <is>
          <t>Wednesday 8-10am: a birding walk at Lake Sawyer Regional Park, free, small group of 3. Photography is your top interest, and this is a great chance for bird shots with people who share it.</t>
        </is>
      </c>
      <c r="H118" s="23" t="inlineStr">
        <is>
          <t>nothing in the profile conflicts with it</t>
        </is>
      </c>
      <c r="I118" s="24" t="inlineStr">
        <is>
          <t>NO</t>
        </is>
      </c>
      <c r="J118" s="23" t="inlineStr">
        <is>
          <t>-</t>
        </is>
      </c>
      <c r="K118" s="23" t="inlineStr">
        <is>
          <t>Birding isn't really Ava's thing—she's into photography but not nature walks like this, and it doesn't connect to her other interests (sports, beer, cards, running). I'll pass on this one.</t>
        </is>
      </c>
      <c r="L118" s="24" t="inlineStr">
        <is>
          <t>No</t>
        </is>
      </c>
      <c r="M118" s="25" t="n"/>
      <c r="N118" s="26" t="inlineStr">
        <is>
          <t>#367 ask, #368 call, #384 reply</t>
        </is>
      </c>
    </row>
    <row r="119" ht="42" customHeight="1">
      <c r="A119" s="23" t="inlineStr">
        <is>
          <t>T1 2026-10-28/g8</t>
        </is>
      </c>
      <c r="B119" s="23" t="inlineStr">
        <is>
          <t>T1</t>
        </is>
      </c>
      <c r="C119" s="23" t="inlineStr">
        <is>
          <t>Birding walk at Lake Sawyer</t>
        </is>
      </c>
      <c r="D119" s="23" t="inlineStr">
        <is>
          <t>e136 Aaliyah H.</t>
        </is>
      </c>
      <c r="E119" s="24" t="n">
        <v>1</v>
      </c>
      <c r="F119" s="23" t="inlineStr">
        <is>
          <t>8am-10am</t>
        </is>
      </c>
      <c r="G119" s="23" t="inlineStr">
        <is>
          <t>Join a small birding walk at Lake Sawyer Regional Park Wednesday 8-10am, free, with 2 others. You enjoy photography, and so do they, so expect a calm, camera-friendly morning.</t>
        </is>
      </c>
      <c r="H119" s="23" t="inlineStr">
        <is>
          <t>nothing in the profile conflicts with it</t>
        </is>
      </c>
      <c r="I119" s="24" t="inlineStr">
        <is>
          <t>YES</t>
        </is>
      </c>
      <c r="J119" s="23" t="inlineStr">
        <is>
          <t>-</t>
        </is>
      </c>
      <c r="K119" s="23" t="inlineStr">
        <is>
          <t>Wednesday morning works great for Aaliyah, and a calm, small-group birding walk pairs nicely with her love of photography—free cost fits her budget too. Count her in.</t>
        </is>
      </c>
      <c r="L119" s="24" t="inlineStr">
        <is>
          <t>Yes</t>
        </is>
      </c>
      <c r="M119" s="25" t="n"/>
      <c r="N119" s="26" t="inlineStr">
        <is>
          <t>#372 ask, #373 call, #389 reply</t>
        </is>
      </c>
    </row>
    <row r="120" ht="42" customHeight="1">
      <c r="A120" s="23" t="inlineStr">
        <is>
          <t>T1 2026-10-28/g8</t>
        </is>
      </c>
      <c r="B120" s="23" t="inlineStr">
        <is>
          <t>T1</t>
        </is>
      </c>
      <c r="C120" s="23" t="inlineStr">
        <is>
          <t>Birding walk at Lake Sawyer</t>
        </is>
      </c>
      <c r="D120" s="23" t="inlineStr">
        <is>
          <t>e060 Cody O.</t>
        </is>
      </c>
      <c r="E120" s="24" t="n">
        <v>2</v>
      </c>
      <c r="F120" s="23" t="inlineStr">
        <is>
          <t>8am-10am</t>
        </is>
      </c>
      <c r="G120" s="23" t="inlineStr">
        <is>
          <t>Hi! A spot opened up on a birding walk at Lake Sawyer this Wednesday (28 Oct), 8am-10am, with Ron and Aaliyah. Would Cody like to join?</t>
        </is>
      </c>
      <c r="H120" s="23" t="inlineStr">
        <is>
          <t>nothing in the profile conflicts with it</t>
        </is>
      </c>
      <c r="I120" s="24" t="inlineStr">
        <is>
          <t>YES</t>
        </is>
      </c>
      <c r="J120" s="23" t="inlineStr">
        <is>
          <t>-</t>
        </is>
      </c>
      <c r="K120" s="23" t="inlineStr">
        <is>
          <t>This is a great fit—Cody loves birding, it's free, in the morning when he's free on Wednesday, and a small quiet group suits him well. He'd be happy to join Ron and Aaliyah at Lake Sawyer!</t>
        </is>
      </c>
      <c r="L120" s="24" t="inlineStr">
        <is>
          <t>Yes</t>
        </is>
      </c>
      <c r="M120" s="25" t="n"/>
      <c r="N120" s="26" t="inlineStr">
        <is>
          <t>#475 ask, #476 call, #484 reply</t>
        </is>
      </c>
    </row>
    <row r="121" ht="42" customHeight="1">
      <c r="A121" s="23" t="inlineStr">
        <is>
          <t>T1 2026-10-28/g9</t>
        </is>
      </c>
      <c r="B121" s="23" t="inlineStr">
        <is>
          <t>T1</t>
        </is>
      </c>
      <c r="C121" s="23" t="inlineStr">
        <is>
          <t>Mountain bike the Black Diamond Open Space</t>
        </is>
      </c>
      <c r="D121" s="23" t="inlineStr">
        <is>
          <t>e091 Wyatt H.</t>
        </is>
      </c>
      <c r="E121" s="24" t="n">
        <v>1</v>
      </c>
      <c r="F121" s="23" t="inlineStr">
        <is>
          <t>2pm-4pm</t>
        </is>
      </c>
      <c r="G121" s="23" t="inlineStr">
        <is>
          <t>Mountain biking the Black Diamond Open Space singletrack Wednesday 2-4pm, free, with 3 other riders. Everyone here rates MTB as a favorite, just like you.</t>
        </is>
      </c>
      <c r="H121" s="23" t="inlineStr">
        <is>
          <t>nothing in the profile conflicts with it</t>
        </is>
      </c>
      <c r="I121" s="24" t="inlineStr">
        <is>
          <t>YES</t>
        </is>
      </c>
      <c r="J121" s="23" t="inlineStr">
        <is>
          <t>-</t>
        </is>
      </c>
      <c r="K121" s="23" t="inlineStr">
        <is>
          <t>Wyatt's free Wednesday afternoon and mountain biking is one of his favorite activities, so this is a great fit. Count him in for the Black Diamond singletrack ride 2-4pm.</t>
        </is>
      </c>
      <c r="L121" s="24" t="inlineStr">
        <is>
          <t>Yes</t>
        </is>
      </c>
      <c r="M121" s="25" t="n"/>
      <c r="N121" s="26" t="inlineStr">
        <is>
          <t>#377 ask, #378 call, #394 reply</t>
        </is>
      </c>
    </row>
    <row r="122" ht="42" customHeight="1">
      <c r="A122" s="23" t="inlineStr">
        <is>
          <t>T1 2026-10-28/g9</t>
        </is>
      </c>
      <c r="B122" s="23" t="inlineStr">
        <is>
          <t>T1</t>
        </is>
      </c>
      <c r="C122" s="23" t="inlineStr">
        <is>
          <t>Mountain bike the Black Diamond Open Space</t>
        </is>
      </c>
      <c r="D122" s="23" t="inlineStr">
        <is>
          <t>e092 Aaliyah J.</t>
        </is>
      </c>
      <c r="E122" s="24" t="n">
        <v>1</v>
      </c>
      <c r="F122" s="23" t="inlineStr">
        <is>
          <t>2pm-4pm</t>
        </is>
      </c>
      <c r="G122" s="23" t="inlineStr">
        <is>
          <t>Wednesday 2-4pm: ride the Black Diamond Open Space singletrack, free, with 3 other keen mountain bikers. A couple of them are into yoga too.</t>
        </is>
      </c>
      <c r="H122" s="23" t="inlineStr">
        <is>
          <t>nothing in the profile conflicts with it</t>
        </is>
      </c>
      <c r="I122" s="24" t="inlineStr">
        <is>
          <t>YES</t>
        </is>
      </c>
      <c r="J122" s="23" t="inlineStr">
        <is>
          <t>-</t>
        </is>
      </c>
      <c r="K122" s="23" t="inlineStr">
        <is>
          <t>Wednesday 2-4pm works great for Aaliyah - she's free that afternoon, mountain biking is her favorite, it's free, and a small group of 3 others isn't a crowd. She's in!</t>
        </is>
      </c>
      <c r="L122" s="24" t="inlineStr">
        <is>
          <t>Yes</t>
        </is>
      </c>
      <c r="M122" s="25" t="n"/>
      <c r="N122" s="26" t="inlineStr">
        <is>
          <t>#382 ask, #383 call, #399 reply</t>
        </is>
      </c>
    </row>
    <row r="123" ht="42" customHeight="1">
      <c r="A123" s="23" t="inlineStr">
        <is>
          <t>T1 2026-10-28/g9</t>
        </is>
      </c>
      <c r="B123" s="23" t="inlineStr">
        <is>
          <t>T1</t>
        </is>
      </c>
      <c r="C123" s="23" t="inlineStr">
        <is>
          <t>Mountain bike the Black Diamond Open Space</t>
        </is>
      </c>
      <c r="D123" s="23" t="inlineStr">
        <is>
          <t>e160 Imani K.</t>
        </is>
      </c>
      <c r="E123" s="24" t="n">
        <v>1</v>
      </c>
      <c r="F123" s="23" t="inlineStr">
        <is>
          <t>2pm-4pm</t>
        </is>
      </c>
      <c r="G123" s="23" t="inlineStr">
        <is>
          <t>Join a mountain bike ride on the Black Diamond Open Space singletrack Wednesday 2-4pm, free, a group of 4. Everyone is into MTB, and a few share your love of yoga.</t>
        </is>
      </c>
      <c r="H123" s="23" t="inlineStr">
        <is>
          <t>nothing in the profile conflicts with it</t>
        </is>
      </c>
      <c r="I123" s="24" t="inlineStr">
        <is>
          <t>YES</t>
        </is>
      </c>
      <c r="J123" s="23" t="inlineStr">
        <is>
          <t>-</t>
        </is>
      </c>
      <c r="K123" s="23" t="inlineStr">
        <is>
          <t>This is a great fit—Imani loves mountain biking, is free Wednesday afternoon, and it's free cost. Count them in!</t>
        </is>
      </c>
      <c r="L123" s="24" t="inlineStr">
        <is>
          <t>Yes</t>
        </is>
      </c>
      <c r="M123" s="25" t="n"/>
      <c r="N123" s="26" t="inlineStr">
        <is>
          <t>#387 ask, #388 call, #404 reply</t>
        </is>
      </c>
    </row>
    <row r="124" ht="42" customHeight="1">
      <c r="A124" s="23" t="inlineStr">
        <is>
          <t>T1 2026-10-28/g9</t>
        </is>
      </c>
      <c r="B124" s="23" t="inlineStr">
        <is>
          <t>T1</t>
        </is>
      </c>
      <c r="C124" s="23" t="inlineStr">
        <is>
          <t>Mountain bike the Black Diamond Open Space</t>
        </is>
      </c>
      <c r="D124" s="23" t="inlineStr">
        <is>
          <t>e059 Donna B.</t>
        </is>
      </c>
      <c r="E124" s="24" t="n">
        <v>1</v>
      </c>
      <c r="F124" s="23" t="inlineStr">
        <is>
          <t>2pm-4pm</t>
        </is>
      </c>
      <c r="G124" s="23" t="inlineStr">
        <is>
          <t>Mountain biking at Black Diamond Open Space Wednesday 2-4pm, free, with 3 other riders around your age. You love MTB, and so does the whole crew.</t>
        </is>
      </c>
      <c r="H124" s="23" t="inlineStr">
        <is>
          <t>nothing in the profile conflicts with it</t>
        </is>
      </c>
      <c r="I124" s="24" t="inlineStr">
        <is>
          <t>YES</t>
        </is>
      </c>
      <c r="J124" s="23" t="inlineStr">
        <is>
          <t>-</t>
        </is>
      </c>
      <c r="K124" s="23" t="inlineStr">
        <is>
          <t>Donna's free Wednesday afternoon and mountain biking is her top love—free group ride at Black Diamond Open Space 2-4pm is a great fit. Count her in!</t>
        </is>
      </c>
      <c r="L124" s="24" t="inlineStr">
        <is>
          <t>Yes</t>
        </is>
      </c>
      <c r="M124" s="25" t="n"/>
      <c r="N124" s="26" t="inlineStr">
        <is>
          <t>#392 ask, #393 call, #409 reply</t>
        </is>
      </c>
    </row>
    <row r="125" ht="42" customHeight="1">
      <c r="A125" s="23" t="inlineStr">
        <is>
          <t>T1 2026-10-28/g10</t>
        </is>
      </c>
      <c r="B125" s="23" t="inlineStr">
        <is>
          <t>T1</t>
        </is>
      </c>
      <c r="C125" s="23" t="inlineStr">
        <is>
          <t>Evening walk on the Ten Trails paths</t>
        </is>
      </c>
      <c r="D125" s="23" t="inlineStr">
        <is>
          <t>e082 Isabel G.</t>
        </is>
      </c>
      <c r="E125" s="24" t="n">
        <v>1</v>
      </c>
      <c r="F125" s="23" t="inlineStr">
        <is>
          <t>6pm-7:30pm</t>
        </is>
      </c>
      <c r="G125" s="23" t="inlineStr">
        <is>
          <t>Evening walk on the Ten Trails paths Wednesday 6-7:30pm, free, with 3 other neighbors. You love running and hiking, and so do the others. Bring the energy.</t>
        </is>
      </c>
      <c r="H125" s="23" t="inlineStr">
        <is>
          <t>nothing in the profile conflicts with it</t>
        </is>
      </c>
      <c r="I125" s="24" t="inlineStr">
        <is>
          <t>YES</t>
        </is>
      </c>
      <c r="J125" s="23" t="inlineStr">
        <is>
          <t>-</t>
        </is>
      </c>
      <c r="K125" s="23" t="inlineStr">
        <is>
          <t>Wednesday evening works great for Isabel — free, matches her love of hiking/trails, and small neighbor group isn't a competitive crowd. She's in!</t>
        </is>
      </c>
      <c r="L125" s="24" t="inlineStr">
        <is>
          <t>Yes</t>
        </is>
      </c>
      <c r="M125" s="25" t="n"/>
      <c r="N125" s="26" t="inlineStr">
        <is>
          <t>#397 ask, #398 call, #414 reply</t>
        </is>
      </c>
    </row>
    <row r="126" ht="42" customHeight="1">
      <c r="A126" s="23" t="inlineStr">
        <is>
          <t>T1 2026-10-28/g10</t>
        </is>
      </c>
      <c r="B126" s="23" t="inlineStr">
        <is>
          <t>T1</t>
        </is>
      </c>
      <c r="C126" s="23" t="inlineStr">
        <is>
          <t>Evening walk on the Ten Trails paths</t>
        </is>
      </c>
      <c r="D126" s="23" t="inlineStr">
        <is>
          <t>e046 Dylan B.</t>
        </is>
      </c>
      <c r="E126" s="24" t="n">
        <v>1</v>
      </c>
      <c r="F126" s="23" t="inlineStr">
        <is>
          <t>6pm-7:30pm</t>
        </is>
      </c>
      <c r="G126" s="23" t="inlineStr">
        <is>
          <t>Wednesday 6-7:30pm: an evening walk on the Ten Trails network, free, with 3 others. It's your home turf, and the group shares your love of running and hiking.</t>
        </is>
      </c>
      <c r="H126" s="23" t="inlineStr">
        <is>
          <t>nothing in the profile conflicts with it</t>
        </is>
      </c>
      <c r="I126" s="24" t="inlineStr">
        <is>
          <t>YES</t>
        </is>
      </c>
      <c r="J126" s="23" t="inlineStr">
        <is>
          <t>-</t>
        </is>
      </c>
      <c r="K126" s="23" t="inlineStr">
        <is>
          <t>This works well for Dylan—Wednesday evening is free, it's free of charge, and a walk on the local trails fits his love of hiking perfectly. Count him in.</t>
        </is>
      </c>
      <c r="L126" s="24" t="inlineStr">
        <is>
          <t>Yes</t>
        </is>
      </c>
      <c r="M126" s="25" t="n"/>
      <c r="N126" s="26" t="inlineStr">
        <is>
          <t>#402 ask, #403 call, #417 reply</t>
        </is>
      </c>
    </row>
    <row r="127" ht="42" customHeight="1">
      <c r="A127" s="23" t="inlineStr">
        <is>
          <t>T1 2026-10-28/g10</t>
        </is>
      </c>
      <c r="B127" s="23" t="inlineStr">
        <is>
          <t>T1</t>
        </is>
      </c>
      <c r="C127" s="23" t="inlineStr">
        <is>
          <t>Evening walk on the Ten Trails paths</t>
        </is>
      </c>
      <c r="D127" s="23" t="inlineStr">
        <is>
          <t>e184 Mateo R.</t>
        </is>
      </c>
      <c r="E127" s="24" t="n">
        <v>1</v>
      </c>
      <c r="F127" s="23" t="inlineStr">
        <is>
          <t>6pm-7:30pm</t>
        </is>
      </c>
      <c r="G127" s="23" t="inlineStr">
        <is>
          <t>Join an evening walk on the Ten Trails paths Wednesday 6-7:30pm, free, a group of 4. Everyone here runs and hikes, and a couple also enjoy craft beer if you want to grab one after.</t>
        </is>
      </c>
      <c r="H127" s="23" t="inlineStr">
        <is>
          <t>nothing in the profile conflicts with it</t>
        </is>
      </c>
      <c r="I127" s="24" t="inlineStr">
        <is>
          <t>YES</t>
        </is>
      </c>
      <c r="J127" s="23" t="inlineStr">
        <is>
          <t>-</t>
        </is>
      </c>
      <c r="K127" s="23" t="inlineStr">
        <is>
          <t>Wednesday evening works great for Mateo - he's free then and loves hiking/running, plus the craft beer after sounds like a nice bonus. Count him in.</t>
        </is>
      </c>
      <c r="L127" s="24" t="inlineStr">
        <is>
          <t>Yes</t>
        </is>
      </c>
      <c r="M127" s="25" t="n"/>
      <c r="N127" s="26" t="inlineStr">
        <is>
          <t>#407 ask, #408 call, #420 reply</t>
        </is>
      </c>
    </row>
    <row r="128" ht="42" customHeight="1">
      <c r="A128" s="23" t="inlineStr">
        <is>
          <t>T1 2026-10-28/g10</t>
        </is>
      </c>
      <c r="B128" s="23" t="inlineStr">
        <is>
          <t>T1</t>
        </is>
      </c>
      <c r="C128" s="23" t="inlineStr">
        <is>
          <t>Evening walk on the Ten Trails paths</t>
        </is>
      </c>
      <c r="D128" s="23" t="inlineStr">
        <is>
          <t>e005 Amy H.</t>
        </is>
      </c>
      <c r="E128" s="24" t="n">
        <v>1</v>
      </c>
      <c r="F128" s="23" t="inlineStr">
        <is>
          <t>6pm-7:30pm</t>
        </is>
      </c>
      <c r="G128" s="23" t="inlineStr">
        <is>
          <t>Evening walk on the Ten Trails paths this Wednesday 6-7:30pm, free, with 3 other neighbors. Running is a big one for you, and this group shares it.</t>
        </is>
      </c>
      <c r="H128" s="23" t="inlineStr">
        <is>
          <t>nothing in the profile conflicts with it</t>
        </is>
      </c>
      <c r="I128" s="24" t="inlineStr">
        <is>
          <t>YES</t>
        </is>
      </c>
      <c r="J128" s="23" t="inlineStr">
        <is>
          <t>-</t>
        </is>
      </c>
      <c r="K128" s="23" t="inlineStr">
        <is>
          <t>Wednesday evening works great for Amy's free schedule, and a casual neighborhood walk fits her love of being active without being competitive. Free cost is fine too, so this is a yes!</t>
        </is>
      </c>
      <c r="L128" s="24" t="inlineStr">
        <is>
          <t>Yes</t>
        </is>
      </c>
      <c r="M128" s="25" t="n"/>
      <c r="N128" s="26" t="inlineStr">
        <is>
          <t>#412 ask, #413 call, #423 reply</t>
        </is>
      </c>
    </row>
    <row r="129" ht="55" customHeight="1">
      <c r="A129" s="23" t="inlineStr">
        <is>
          <t>T1 2026-10-31/g1</t>
        </is>
      </c>
      <c r="B129" s="23" t="inlineStr">
        <is>
          <t>T1</t>
        </is>
      </c>
      <c r="C129" s="23" t="inlineStr">
        <is>
          <t>Kraken hockey night</t>
        </is>
      </c>
      <c r="D129" s="23" t="inlineStr">
        <is>
          <t>e094 Cody F.</t>
        </is>
      </c>
      <c r="E129" s="24" t="n">
        <v>1</v>
      </c>
      <c r="F129" s="23" t="inlineStr">
        <is>
          <t>7pm-9:30pm</t>
        </is>
      </c>
      <c r="G129" s="23" t="inlineStr">
        <is>
          <t>Kraken night at Black Diamond Grill, 7-9:30pm Saturday, with 3 other neighbors who love watching sports. You're one of the keenest fans in town, and a couple of them golf too, so there's plenty to talk about between periods.</t>
        </is>
      </c>
      <c r="H129" s="23" t="inlineStr">
        <is>
          <t>nothing in the profile conflicts with it</t>
        </is>
      </c>
      <c r="I129" s="24" t="inlineStr">
        <is>
          <t>YES</t>
        </is>
      </c>
      <c r="J129" s="23" t="inlineStr">
        <is>
          <t>-</t>
        </is>
      </c>
      <c r="K129" s="23" t="inlineStr">
        <is>
          <t>Saturday evening works great for Cody, and watch sports plus dining at a grill with fellow golf fans sounds perfect. Count Cody in for Kraken night at Black Diamond Grill.</t>
        </is>
      </c>
      <c r="L129" s="24" t="inlineStr">
        <is>
          <t>Yes</t>
        </is>
      </c>
      <c r="M129" s="25" t="n"/>
      <c r="N129" s="26" t="inlineStr">
        <is>
          <t>#555 ask, #556 call, #568 reply</t>
        </is>
      </c>
    </row>
    <row r="130" ht="42" customHeight="1">
      <c r="A130" s="23" t="inlineStr">
        <is>
          <t>T1 2026-10-31/g1</t>
        </is>
      </c>
      <c r="B130" s="23" t="inlineStr">
        <is>
          <t>T1</t>
        </is>
      </c>
      <c r="C130" s="23" t="inlineStr">
        <is>
          <t>Kraken hockey night</t>
        </is>
      </c>
      <c r="D130" s="23" t="inlineStr">
        <is>
          <t>e075 Rosa G.</t>
        </is>
      </c>
      <c r="E130" s="24" t="n">
        <v>1</v>
      </c>
      <c r="F130" s="23" t="inlineStr">
        <is>
          <t>7pm-9:30pm</t>
        </is>
      </c>
      <c r="G130" s="23" t="inlineStr">
        <is>
          <t>Want to catch the Kraken at Black Diamond Grill Saturday, 7-9:30pm? You'd share a table with 3 neighbors who are just as into the game. Easy pints, good sports talk, low cost.</t>
        </is>
      </c>
      <c r="H130" s="23" t="inlineStr">
        <is>
          <t>nothing in the profile conflicts with it</t>
        </is>
      </c>
      <c r="I130" s="24" t="inlineStr">
        <is>
          <t>YES</t>
        </is>
      </c>
      <c r="J130" s="23" t="inlineStr">
        <is>
          <t>-</t>
        </is>
      </c>
      <c r="K130" s="23" t="inlineStr">
        <is>
          <t>Rosa loves watching sports and craft beer, Saturday evening is free, and low-cost fits her budget—she's in for Kraken hockey night at Black Diamond Grill!</t>
        </is>
      </c>
      <c r="L130" s="24" t="inlineStr">
        <is>
          <t>Yes</t>
        </is>
      </c>
      <c r="M130" s="25" t="n"/>
      <c r="N130" s="26" t="inlineStr">
        <is>
          <t>#557 ask, #558 call, #563 reply</t>
        </is>
      </c>
    </row>
    <row r="131" ht="42" customHeight="1">
      <c r="A131" s="23" t="inlineStr">
        <is>
          <t>T1 2026-10-31/g1</t>
        </is>
      </c>
      <c r="B131" s="23" t="inlineStr">
        <is>
          <t>T1</t>
        </is>
      </c>
      <c r="C131" s="23" t="inlineStr">
        <is>
          <t>Kraken hockey night</t>
        </is>
      </c>
      <c r="D131" s="23" t="inlineStr">
        <is>
          <t>e117 Ava B.</t>
        </is>
      </c>
      <c r="E131" s="24" t="n">
        <v>1</v>
      </c>
      <c r="F131" s="23" t="inlineStr">
        <is>
          <t>7pm-9:30pm</t>
        </is>
      </c>
      <c r="G131" s="23" t="inlineStr">
        <is>
          <t>Kraken hockey at Black Diamond Grill this Saturday, 7-9:30pm, with a small group of 3 other fans. Craft beer and the game is a good mix for you, and it's a relaxed way to meet some locals.</t>
        </is>
      </c>
      <c r="H131" s="23" t="inlineStr">
        <is>
          <t>It runs to 9pm or later, and Ava avoids late nights.</t>
        </is>
      </c>
      <c r="I131" s="24" t="inlineStr">
        <is>
          <t>YES</t>
        </is>
      </c>
      <c r="J131" s="23" t="inlineStr">
        <is>
          <t>-</t>
        </is>
      </c>
      <c r="K131" s="23" t="inlineStr">
        <is>
          <t>Saturday evening is free for Ava, and watching the Kraken with craft beer and a small group sounds right up her alley—ending at 9:30pm is fine, not a late night. Let's lock it in!</t>
        </is>
      </c>
      <c r="L131" s="24" t="inlineStr">
        <is>
          <t>Yes</t>
        </is>
      </c>
      <c r="M131" s="25" t="n"/>
      <c r="N131" s="26" t="inlineStr">
        <is>
          <t>#559 ask, #560 call, #573 reply</t>
        </is>
      </c>
    </row>
    <row r="132" ht="55" customHeight="1">
      <c r="A132" s="23" t="inlineStr">
        <is>
          <t>T1 2026-10-31/g1</t>
        </is>
      </c>
      <c r="B132" s="23" t="inlineStr">
        <is>
          <t>T1</t>
        </is>
      </c>
      <c r="C132" s="23" t="inlineStr">
        <is>
          <t>Kraken hockey night</t>
        </is>
      </c>
      <c r="D132" s="23" t="inlineStr">
        <is>
          <t>e001 Nikhil R.</t>
        </is>
      </c>
      <c r="E132" s="24" t="n">
        <v>1</v>
      </c>
      <c r="F132" s="23" t="inlineStr">
        <is>
          <t>7pm-9:30pm</t>
        </is>
      </c>
      <c r="G132" s="23" t="inlineStr">
        <is>
          <t>Saturday 7-9:30pm: Kraken game at Black Diamond Grill with 3 other neighbors who love watching sports and golf. A low-key night out where you'll have plenty in common.</t>
        </is>
      </c>
      <c r="H132" s="23" t="inlineStr">
        <is>
          <t>It runs to 9pm or later, and Nikhil avoids late nights.</t>
        </is>
      </c>
      <c r="I132" s="24" t="inlineStr">
        <is>
          <t>YES</t>
        </is>
      </c>
      <c r="J132" s="23" t="inlineStr">
        <is>
          <t>-</t>
        </is>
      </c>
      <c r="K132" s="23" t="inlineStr">
        <is>
          <t>Saturday evening works great for Nikhil, and watching the Kraken with fellow sports fans at a low-cost spot is right up his alley. 9:30pm finish is fine since he's free all evening with no early morning after.</t>
        </is>
      </c>
      <c r="L132" s="24" t="inlineStr">
        <is>
          <t>Yes</t>
        </is>
      </c>
      <c r="M132" s="25" t="n"/>
      <c r="N132" s="26" t="inlineStr">
        <is>
          <t>#561 ask, #562 call, #578 reply</t>
        </is>
      </c>
    </row>
    <row r="133" ht="42" customHeight="1">
      <c r="A133" s="23" t="inlineStr">
        <is>
          <t>T1 2026-10-31/g2</t>
        </is>
      </c>
      <c r="B133" s="23" t="inlineStr">
        <is>
          <t>T1</t>
        </is>
      </c>
      <c r="C133" s="23" t="inlineStr">
        <is>
          <t>Live music in the beer garden</t>
        </is>
      </c>
      <c r="D133" s="23" t="inlineStr">
        <is>
          <t>e139 Hannah A.</t>
        </is>
      </c>
      <c r="E133" s="24" t="n">
        <v>1</v>
      </c>
      <c r="F133" s="23" t="inlineStr">
        <is>
          <t>7pm-10pm</t>
        </is>
      </c>
      <c r="G133" s="23" t="inlineStr">
        <is>
          <t>Live music in The Vault's beer garden Saturday, 7-10pm, with 4 other music-and-beer neighbors. You were one of the keenest for this one, and it's low cost and easygoing.</t>
        </is>
      </c>
      <c r="H133" s="23" t="inlineStr">
        <is>
          <t>nothing in the profile conflicts with it</t>
        </is>
      </c>
      <c r="I133" s="24" t="inlineStr">
        <is>
          <t>YES</t>
        </is>
      </c>
      <c r="J133" s="23" t="inlineStr">
        <is>
          <t>-</t>
        </is>
      </c>
      <c r="K133" s="23" t="inlineStr">
        <is>
          <t>This is a great fit — Hannah loves craft beer and really likes live music, Saturday evening is free, and the low-cost, easygoing neighbor group suits her perfectly. Count her in!</t>
        </is>
      </c>
      <c r="L133" s="24" t="inlineStr">
        <is>
          <t>Yes</t>
        </is>
      </c>
      <c r="M133" s="25" t="n"/>
      <c r="N133" s="26" t="inlineStr">
        <is>
          <t>#566 ask, #567 call, #588 reply</t>
        </is>
      </c>
    </row>
    <row r="134" ht="42" customHeight="1">
      <c r="A134" s="23" t="inlineStr">
        <is>
          <t>T1 2026-10-31/g2</t>
        </is>
      </c>
      <c r="B134" s="23" t="inlineStr">
        <is>
          <t>T1</t>
        </is>
      </c>
      <c r="C134" s="23" t="inlineStr">
        <is>
          <t>Live music in the beer garden</t>
        </is>
      </c>
      <c r="D134" s="23" t="inlineStr">
        <is>
          <t>e033 Angelica P.</t>
        </is>
      </c>
      <c r="E134" s="24" t="n">
        <v>1</v>
      </c>
      <c r="F134" s="23" t="inlineStr">
        <is>
          <t>7pm-10pm</t>
        </is>
      </c>
      <c r="G134" s="23" t="inlineStr">
        <is>
          <t>Saturday 7-10pm: live music at The Vault Taphouse beer garden with 4 neighbors who love live music as much as you do. Grab a pint and enjoy the show together.</t>
        </is>
      </c>
      <c r="H134" s="23" t="inlineStr">
        <is>
          <t>nothing in the profile conflicts with it</t>
        </is>
      </c>
      <c r="I134" s="24" t="inlineStr">
        <is>
          <t>YES</t>
        </is>
      </c>
      <c r="J134" s="23" t="inlineStr">
        <is>
          <t>-</t>
        </is>
      </c>
      <c r="K134" s="23" t="inlineStr">
        <is>
          <t>Saturday evening works great—live music and craft beer in a beer garden is right up Angelica's alley, and it's low-cost and within her free evening. Count her in!</t>
        </is>
      </c>
      <c r="L134" s="24" t="inlineStr">
        <is>
          <t>Yes</t>
        </is>
      </c>
      <c r="M134" s="25" t="n"/>
      <c r="N134" s="26" t="inlineStr">
        <is>
          <t>#571 ask, #572 call, #591 reply</t>
        </is>
      </c>
    </row>
    <row r="135" ht="42" customHeight="1">
      <c r="A135" s="23" t="inlineStr">
        <is>
          <t>T1 2026-10-31/g2</t>
        </is>
      </c>
      <c r="B135" s="23" t="inlineStr">
        <is>
          <t>T1</t>
        </is>
      </c>
      <c r="C135" s="23" t="inlineStr">
        <is>
          <t>Live music in the beer garden</t>
        </is>
      </c>
      <c r="D135" s="23" t="inlineStr">
        <is>
          <t>e037 Steve N.</t>
        </is>
      </c>
      <c r="E135" s="24" t="n">
        <v>1</v>
      </c>
      <c r="F135" s="23" t="inlineStr">
        <is>
          <t>7pm-10pm</t>
        </is>
      </c>
      <c r="G135" s="23" t="inlineStr">
        <is>
          <t>Live music at The Vault's beer garden this Saturday, 7-10pm, with a group of 4 other neighbors. Live music and craft beer are two of your favorites, so this one fits well.</t>
        </is>
      </c>
      <c r="H135" s="23" t="inlineStr">
        <is>
          <t>nothing in the profile conflicts with it</t>
        </is>
      </c>
      <c r="I135" s="24" t="inlineStr">
        <is>
          <t>YES</t>
        </is>
      </c>
      <c r="J135" s="23" t="inlineStr">
        <is>
          <t>-</t>
        </is>
      </c>
      <c r="K135" s="23" t="inlineStr">
        <is>
          <t>This is a great fit — Steve's free Saturday evening, and live music plus craft beer with a small neighbor group hits exactly what he loves. Count him in.</t>
        </is>
      </c>
      <c r="L135" s="24" t="inlineStr">
        <is>
          <t>Yes</t>
        </is>
      </c>
      <c r="M135" s="25" t="n"/>
      <c r="N135" s="26" t="inlineStr">
        <is>
          <t>#576 ask, #577 call, #583 reply</t>
        </is>
      </c>
    </row>
    <row r="136" ht="42" customHeight="1">
      <c r="A136" s="23" t="inlineStr">
        <is>
          <t>T1 2026-10-31/g2</t>
        </is>
      </c>
      <c r="B136" s="23" t="inlineStr">
        <is>
          <t>T1</t>
        </is>
      </c>
      <c r="C136" s="23" t="inlineStr">
        <is>
          <t>Live music in the beer garden</t>
        </is>
      </c>
      <c r="D136" s="23" t="inlineStr">
        <is>
          <t>e115 Linda R.</t>
        </is>
      </c>
      <c r="E136" s="24" t="n">
        <v>1</v>
      </c>
      <c r="F136" s="23" t="inlineStr">
        <is>
          <t>7pm-10pm</t>
        </is>
      </c>
      <c r="G136" s="23" t="inlineStr">
        <is>
          <t>Join 4 neighbors for live music in The Vault's beer garden, Saturday 7-10pm. You love live music, and this crew is just as keen. A great way to meet people over a pint.</t>
        </is>
      </c>
      <c r="H136" s="23" t="inlineStr">
        <is>
          <t>nothing in the profile conflicts with it</t>
        </is>
      </c>
      <c r="I136" s="24" t="inlineStr">
        <is>
          <t>YES</t>
        </is>
      </c>
      <c r="J136" s="23" t="inlineStr">
        <is>
          <t>-</t>
        </is>
      </c>
      <c r="K136" s="23" t="inlineStr">
        <is>
          <t>This is a great fit—Linda loves live music and craft beer, she's free Saturday evening, and it's low-cost. Count her in!</t>
        </is>
      </c>
      <c r="L136" s="24" t="inlineStr">
        <is>
          <t>Yes</t>
        </is>
      </c>
      <c r="M136" s="25" t="n"/>
      <c r="N136" s="26" t="inlineStr">
        <is>
          <t>#581 ask, #582 call, #598 reply</t>
        </is>
      </c>
    </row>
    <row r="137" ht="42" customHeight="1">
      <c r="A137" s="23" t="inlineStr">
        <is>
          <t>T1 2026-10-31/g2</t>
        </is>
      </c>
      <c r="B137" s="23" t="inlineStr">
        <is>
          <t>T1</t>
        </is>
      </c>
      <c r="C137" s="23" t="inlineStr">
        <is>
          <t>Live music in the beer garden</t>
        </is>
      </c>
      <c r="D137" s="23" t="inlineStr">
        <is>
          <t>e183 Susan W.</t>
        </is>
      </c>
      <c r="E137" s="24" t="n">
        <v>1</v>
      </c>
      <c r="F137" s="23" t="inlineStr">
        <is>
          <t>7pm-10pm</t>
        </is>
      </c>
      <c r="G137" s="23" t="inlineStr">
        <is>
          <t>Saturday 7-10pm, live music at The Vault Taphouse beer garden with 4 other neighbors who enjoy music and craft beer. Low cost and relaxed.</t>
        </is>
      </c>
      <c r="H137" s="23" t="inlineStr">
        <is>
          <t>nothing in the profile conflicts with it</t>
        </is>
      </c>
      <c r="I137" s="24" t="inlineStr">
        <is>
          <t>YES</t>
        </is>
      </c>
      <c r="J137" s="23" t="inlineStr">
        <is>
          <t>-</t>
        </is>
      </c>
      <c r="K137" s="23" t="inlineStr">
        <is>
          <t>Saturday evening works great for Susan — live music and craft beer in a low-key beer garden setting is right up her alley, and it's low-cost. Count her in!</t>
        </is>
      </c>
      <c r="L137" s="24" t="inlineStr">
        <is>
          <t>Yes</t>
        </is>
      </c>
      <c r="M137" s="25" t="n"/>
      <c r="N137" s="26" t="inlineStr">
        <is>
          <t>#586 ask, #587 call, #603 reply</t>
        </is>
      </c>
    </row>
    <row r="138" ht="42" customHeight="1">
      <c r="A138" s="23" t="inlineStr">
        <is>
          <t>T1 2026-10-31/g3</t>
        </is>
      </c>
      <c r="B138" s="23" t="inlineStr">
        <is>
          <t>T1</t>
        </is>
      </c>
      <c r="C138" s="23" t="inlineStr">
        <is>
          <t>Brewpub dinner at Big Block</t>
        </is>
      </c>
      <c r="D138" s="23" t="inlineStr">
        <is>
          <t>e158 Olivia A.</t>
        </is>
      </c>
      <c r="E138" s="24" t="n">
        <v>1</v>
      </c>
      <c r="F138" s="23" t="inlineStr">
        <is>
          <t>6:30pm-8:30pm</t>
        </is>
      </c>
      <c r="G138" s="23" t="inlineStr">
        <is>
          <t>Brewpub dinner at Big Block Brewery, Saturday 6:30-8:30pm, with 2 other neighbors. You were the keenest in town for this, and dining plus craft beer is right up your alley.</t>
        </is>
      </c>
      <c r="H138" s="23" t="inlineStr">
        <is>
          <t>nothing in the profile conflicts with it</t>
        </is>
      </c>
      <c r="I138" s="24" t="inlineStr">
        <is>
          <t>YES</t>
        </is>
      </c>
      <c r="J138" s="23" t="inlineStr">
        <is>
          <t>-</t>
        </is>
      </c>
      <c r="K138" s="23" t="inlineStr">
        <is>
          <t>This fits Olivia perfectly—Saturday evening is free, and craft beer plus dining with a small neighborly group is exactly her thing. Count her in!</t>
        </is>
      </c>
      <c r="L138" s="24" t="inlineStr">
        <is>
          <t>Yes</t>
        </is>
      </c>
      <c r="M138" s="25" t="n"/>
      <c r="N138" s="26" t="inlineStr">
        <is>
          <t>#594 ask, #595 call, #613 reply</t>
        </is>
      </c>
    </row>
    <row r="139" ht="42" customHeight="1">
      <c r="A139" s="23" t="inlineStr">
        <is>
          <t>T1 2026-10-31/g3</t>
        </is>
      </c>
      <c r="B139" s="23" t="inlineStr">
        <is>
          <t>T1</t>
        </is>
      </c>
      <c r="C139" s="23" t="inlineStr">
        <is>
          <t>Brewpub dinner at Big Block</t>
        </is>
      </c>
      <c r="D139" s="23" t="inlineStr">
        <is>
          <t>e085 Cody B.</t>
        </is>
      </c>
      <c r="E139" s="24" t="n">
        <v>1</v>
      </c>
      <c r="F139" s="23" t="inlineStr">
        <is>
          <t>6:30pm-8:30pm</t>
        </is>
      </c>
      <c r="G139" s="23" t="inlineStr">
        <is>
          <t>Saturday 6:30-8:30pm: dinner at Big Block Brewery with 2 neighbors who enjoy good food and craft beer. A small table makes it easy to actually get to know each other.</t>
        </is>
      </c>
      <c r="H139" s="23" t="inlineStr">
        <is>
          <t>nothing in the profile conflicts with it</t>
        </is>
      </c>
      <c r="I139" s="24" t="inlineStr">
        <is>
          <t>YES</t>
        </is>
      </c>
      <c r="J139" s="23" t="inlineStr">
        <is>
          <t>-</t>
        </is>
      </c>
      <c r="K139" s="23" t="inlineStr">
        <is>
          <t>Saturday evening works great for Cody and craft beer at a brewpub with neighbors sounds right up his alley — count him in.</t>
        </is>
      </c>
      <c r="L139" s="24" t="inlineStr">
        <is>
          <t>Yes</t>
        </is>
      </c>
      <c r="M139" s="25" t="n"/>
      <c r="N139" s="26" t="inlineStr">
        <is>
          <t>#596 ask, #597 call, #608 reply</t>
        </is>
      </c>
    </row>
    <row r="140" ht="42" customHeight="1">
      <c r="A140" s="23" t="inlineStr">
        <is>
          <t>T1 2026-10-31/g3</t>
        </is>
      </c>
      <c r="B140" s="23" t="inlineStr">
        <is>
          <t>T1</t>
        </is>
      </c>
      <c r="C140" s="23" t="inlineStr">
        <is>
          <t>Brewpub dinner at Big Block</t>
        </is>
      </c>
      <c r="D140" s="23" t="inlineStr">
        <is>
          <t>e131 Sarah L.</t>
        </is>
      </c>
      <c r="E140" s="24" t="n">
        <v>1</v>
      </c>
      <c r="F140" s="23" t="inlineStr">
        <is>
          <t>6:30pm-8:30pm</t>
        </is>
      </c>
      <c r="G140" s="23" t="inlineStr">
        <is>
          <t>Brewpub dinner at Big Block Brewery Saturday, 6:30-8:30pm, with just 2 other neighbors. You enjoy dining out, and this is a relaxed, mid-cost evening in town.</t>
        </is>
      </c>
      <c r="H140" s="23" t="inlineStr">
        <is>
          <t>nothing in the profile conflicts with it</t>
        </is>
      </c>
      <c r="I140" s="24" t="inlineStr">
        <is>
          <t>YES</t>
        </is>
      </c>
      <c r="J140" s="23" t="inlineStr">
        <is>
          <t>-</t>
        </is>
      </c>
      <c r="K140" s="23" t="inlineStr">
        <is>
          <t>Saturday evening works well for Sarah, and she loves dining out, so a brewpub dinner with neighbors sounds great. Count her in.</t>
        </is>
      </c>
      <c r="L140" s="24" t="inlineStr">
        <is>
          <t>Yes</t>
        </is>
      </c>
      <c r="M140" s="25" t="n"/>
      <c r="N140" s="26" t="inlineStr">
        <is>
          <t>#601 ask, #602 call, #618 reply</t>
        </is>
      </c>
    </row>
    <row r="141" ht="42" customHeight="1">
      <c r="A141" s="23" t="inlineStr">
        <is>
          <t>T1 2026-10-31/g4</t>
        </is>
      </c>
      <c r="B141" s="23" t="inlineStr">
        <is>
          <t>T1</t>
        </is>
      </c>
      <c r="C141" s="23" t="inlineStr">
        <is>
          <t>Franklin ghost town hike</t>
        </is>
      </c>
      <c r="D141" s="23" t="inlineStr">
        <is>
          <t>e020 Imani M.</t>
        </is>
      </c>
      <c r="E141" s="24" t="n">
        <v>1</v>
      </c>
      <c r="F141" s="23" t="inlineStr">
        <is>
          <t>1pm-3:30pm</t>
        </is>
      </c>
      <c r="G141" s="23" t="inlineStr">
        <is>
          <t>Hike to the Franklin ghost town Saturday, 1-3:30pm, off Green River Gorge Rd, with 3 other neighbors. All of them are as into local history as you are. Free, and a great walk-and-talk.</t>
        </is>
      </c>
      <c r="H141" s="23" t="inlineStr">
        <is>
          <t>nothing in the profile conflicts with it</t>
        </is>
      </c>
      <c r="I141" s="24" t="inlineStr">
        <is>
          <t>YES</t>
        </is>
      </c>
      <c r="J141" s="23" t="inlineStr">
        <is>
          <t>-</t>
        </is>
      </c>
      <c r="K141" s="23" t="inlineStr">
        <is>
          <t>This is a great fit—Imani loves hiking and history, Saturday afternoon is open, it's free, and a small neighbor group sounds low-key and not loud. Count Imani in!</t>
        </is>
      </c>
      <c r="L141" s="24" t="inlineStr">
        <is>
          <t>Yes</t>
        </is>
      </c>
      <c r="M141" s="25" t="n"/>
      <c r="N141" s="26" t="inlineStr">
        <is>
          <t>#606 ask, #607 call, #628 reply</t>
        </is>
      </c>
    </row>
    <row r="142" ht="42" customHeight="1">
      <c r="A142" s="23" t="inlineStr">
        <is>
          <t>T1 2026-10-31/g4</t>
        </is>
      </c>
      <c r="B142" s="23" t="inlineStr">
        <is>
          <t>T1</t>
        </is>
      </c>
      <c r="C142" s="23" t="inlineStr">
        <is>
          <t>Franklin ghost town hike</t>
        </is>
      </c>
      <c r="D142" s="23" t="inlineStr">
        <is>
          <t>e143 Carlos T.</t>
        </is>
      </c>
      <c r="E142" s="24" t="n">
        <v>1</v>
      </c>
      <c r="F142" s="23" t="inlineStr">
        <is>
          <t>1pm-3:30pm</t>
        </is>
      </c>
      <c r="G142" s="23" t="inlineStr">
        <is>
          <t>Saturday 1-3:30pm: Franklin ghost town hike with 3 neighbors who love history and hiking. You were among the keenest, and the old mining town ruins should spark good conversation.</t>
        </is>
      </c>
      <c r="H142" s="23" t="inlineStr">
        <is>
          <t>nothing in the profile conflicts with it</t>
        </is>
      </c>
      <c r="I142" s="24" t="inlineStr">
        <is>
          <t>YES</t>
        </is>
      </c>
      <c r="J142" s="23" t="inlineStr">
        <is>
          <t>-</t>
        </is>
      </c>
      <c r="K142" s="23" t="inlineStr">
        <is>
          <t>Saturday afternoon works great for Carlos - hiking plus history and a small group fits him perfectly. He's in for the Franklin ghost town hike.</t>
        </is>
      </c>
      <c r="L142" s="24" t="inlineStr">
        <is>
          <t>Yes</t>
        </is>
      </c>
      <c r="M142" s="25" t="n"/>
      <c r="N142" s="26" t="inlineStr">
        <is>
          <t>#611 ask, #612 call, #633 reply</t>
        </is>
      </c>
    </row>
    <row r="143" ht="42" customHeight="1">
      <c r="A143" s="23" t="inlineStr">
        <is>
          <t>T1 2026-10-31/g4</t>
        </is>
      </c>
      <c r="B143" s="23" t="inlineStr">
        <is>
          <t>T1</t>
        </is>
      </c>
      <c r="C143" s="23" t="inlineStr">
        <is>
          <t>Franklin ghost town hike</t>
        </is>
      </c>
      <c r="D143" s="23" t="inlineStr">
        <is>
          <t>e014 Paolo P.</t>
        </is>
      </c>
      <c r="E143" s="24" t="n">
        <v>1</v>
      </c>
      <c r="F143" s="23" t="inlineStr">
        <is>
          <t>1pm-3:30pm</t>
        </is>
      </c>
      <c r="G143" s="23" t="inlineStr">
        <is>
          <t>Franklin ghost town hike this Saturday, 1-3:30pm, with 3 other history buffs. It's an easy afternoon outing on Green River Gorge Rd and free.</t>
        </is>
      </c>
      <c r="H143" s="23" t="inlineStr">
        <is>
          <t>nothing in the profile conflicts with it</t>
        </is>
      </c>
      <c r="I143" s="24" t="inlineStr">
        <is>
          <t>YES</t>
        </is>
      </c>
      <c r="J143" s="23" t="inlineStr">
        <is>
          <t>-</t>
        </is>
      </c>
      <c r="K143" s="23" t="inlineStr">
        <is>
          <t>This fits perfectly—Paolo's free Saturday afternoon, it's free, history-themed, and a non-competitive casual hike with neighbors. He's in!</t>
        </is>
      </c>
      <c r="L143" s="24" t="inlineStr">
        <is>
          <t>Yes</t>
        </is>
      </c>
      <c r="M143" s="25" t="n"/>
      <c r="N143" s="26" t="inlineStr">
        <is>
          <t>#616 ask, #617 call, #623 reply</t>
        </is>
      </c>
    </row>
    <row r="144" ht="42" customHeight="1">
      <c r="A144" s="23" t="inlineStr">
        <is>
          <t>T1 2026-10-31/g4</t>
        </is>
      </c>
      <c r="B144" s="23" t="inlineStr">
        <is>
          <t>T1</t>
        </is>
      </c>
      <c r="C144" s="23" t="inlineStr">
        <is>
          <t>Franklin ghost town hike</t>
        </is>
      </c>
      <c r="D144" s="23" t="inlineStr">
        <is>
          <t>e055 Ryan M.</t>
        </is>
      </c>
      <c r="E144" s="24" t="n">
        <v>1</v>
      </c>
      <c r="F144" s="23" t="inlineStr">
        <is>
          <t>1pm-3:30pm</t>
        </is>
      </c>
      <c r="G144" s="23" t="inlineStr">
        <is>
          <t>Join 3 neighbors Saturday, 1-3:30pm, for a walk to the Franklin ghost town. Everyone in the group loves local history, so expect lots of stories about the old mining days. Free.</t>
        </is>
      </c>
      <c r="H144" s="23" t="inlineStr">
        <is>
          <t>nothing in the profile conflicts with it</t>
        </is>
      </c>
      <c r="I144" s="24" t="inlineStr">
        <is>
          <t>YES</t>
        </is>
      </c>
      <c r="J144" s="23" t="inlineStr">
        <is>
          <t>-</t>
        </is>
      </c>
      <c r="K144" s="23" t="inlineStr">
        <is>
          <t>Saturday afternoon works great for Ryan, and a history-focused walk to an old mining town sounds right up his alley. Free is perfect for his budget too — he's in.</t>
        </is>
      </c>
      <c r="L144" s="24" t="inlineStr">
        <is>
          <t>Yes</t>
        </is>
      </c>
      <c r="M144" s="25" t="n"/>
      <c r="N144" s="26" t="inlineStr">
        <is>
          <t>#621 ask, #622 call, #638 reply</t>
        </is>
      </c>
    </row>
    <row r="145" ht="42" customHeight="1">
      <c r="A145" s="23" t="inlineStr">
        <is>
          <t>T1 2026-10-31/g5</t>
        </is>
      </c>
      <c r="B145" s="23" t="inlineStr">
        <is>
          <t>T1</t>
        </is>
      </c>
      <c r="C145" s="23" t="inlineStr">
        <is>
          <t>Green River Gorge hike</t>
        </is>
      </c>
      <c r="D145" s="23" t="inlineStr">
        <is>
          <t>e124 Wei T.</t>
        </is>
      </c>
      <c r="E145" s="24" t="n">
        <v>1</v>
      </c>
      <c r="F145" s="23" t="inlineStr">
        <is>
          <t>1:30pm-4pm</t>
        </is>
      </c>
      <c r="G145" s="23" t="inlineStr">
        <is>
          <t>Green River Gorge hike Saturday, 1:30-4pm, with 3 other neighbors who all love photography. Bring your camera: the Gorge is stunning this time of year. Free.</t>
        </is>
      </c>
      <c r="H145" s="23" t="inlineStr">
        <is>
          <t>nothing in the profile conflicts with it</t>
        </is>
      </c>
      <c r="I145" s="24" t="inlineStr">
        <is>
          <t>YES</t>
        </is>
      </c>
      <c r="J145" s="23" t="inlineStr">
        <is>
          <t>-</t>
        </is>
      </c>
      <c r="K145" s="23" t="inlineStr">
        <is>
          <t>This is a great fit—Wei loves hiking and photography, it's free, falls in Saturday's open afternoon, and a small neighbor group beats a crowd. Count Wei in for the Green River Gorge hike!</t>
        </is>
      </c>
      <c r="L145" s="24" t="inlineStr">
        <is>
          <t>Yes</t>
        </is>
      </c>
      <c r="M145" s="25" t="n"/>
      <c r="N145" s="26" t="inlineStr">
        <is>
          <t>#626 ask, #627 call, #653 reply</t>
        </is>
      </c>
    </row>
    <row r="146" ht="42" customHeight="1">
      <c r="A146" s="23" t="inlineStr">
        <is>
          <t>T1 2026-10-31/g5</t>
        </is>
      </c>
      <c r="B146" s="23" t="inlineStr">
        <is>
          <t>T1</t>
        </is>
      </c>
      <c r="C146" s="23" t="inlineStr">
        <is>
          <t>Green River Gorge hike</t>
        </is>
      </c>
      <c r="D146" s="23" t="inlineStr">
        <is>
          <t>e104 Susan L.</t>
        </is>
      </c>
      <c r="E146" s="24" t="n">
        <v>1</v>
      </c>
      <c r="F146" s="23" t="inlineStr">
        <is>
          <t>1:30pm-4pm</t>
        </is>
      </c>
      <c r="G146" s="23" t="inlineStr">
        <is>
          <t>Saturday 1:30-4pm: hike the Green River Gorge Conservation Area with 3 neighbors who share your love of hiking and photography. You were one of the keenest for this.</t>
        </is>
      </c>
      <c r="H146" s="23" t="inlineStr">
        <is>
          <t>nothing in the profile conflicts with it</t>
        </is>
      </c>
      <c r="I146" s="24" t="inlineStr">
        <is>
          <t>YES</t>
        </is>
      </c>
      <c r="J146" s="23" t="inlineStr">
        <is>
          <t>-</t>
        </is>
      </c>
      <c r="K146" s="23" t="inlineStr">
        <is>
          <t>Saturday afternoon works great for Susan—free, aligns with her love of hiking and photography, and fits her open calendar slot. She's in!</t>
        </is>
      </c>
      <c r="L146" s="24" t="inlineStr">
        <is>
          <t>Yes</t>
        </is>
      </c>
      <c r="M146" s="25" t="n"/>
      <c r="N146" s="26" t="inlineStr">
        <is>
          <t>#631 ask, #632 call, #643 reply</t>
        </is>
      </c>
    </row>
    <row r="147" ht="42" customHeight="1">
      <c r="A147" s="23" t="inlineStr">
        <is>
          <t>T1 2026-10-31/g5</t>
        </is>
      </c>
      <c r="B147" s="23" t="inlineStr">
        <is>
          <t>T1</t>
        </is>
      </c>
      <c r="C147" s="23" t="inlineStr">
        <is>
          <t>Green River Gorge hike</t>
        </is>
      </c>
      <c r="D147" s="23" t="inlineStr">
        <is>
          <t>e016 Paige P.</t>
        </is>
      </c>
      <c r="E147" s="24" t="n">
        <v>1</v>
      </c>
      <c r="F147" s="23" t="inlineStr">
        <is>
          <t>1:30pm-4pm</t>
        </is>
      </c>
      <c r="G147" s="23" t="inlineStr">
        <is>
          <t>Green River Gorge hike this Saturday, 1:30-4pm, with a small group of 3 fellow photographers. A great afternoon to get some shots and meet neighbors. Free.</t>
        </is>
      </c>
      <c r="H147" s="23" t="inlineStr">
        <is>
          <t>nothing in the profile conflicts with it</t>
        </is>
      </c>
      <c r="I147" s="24" t="inlineStr">
        <is>
          <t>YES</t>
        </is>
      </c>
      <c r="J147" s="23" t="inlineStr">
        <is>
          <t>-</t>
        </is>
      </c>
      <c r="K147" s="23" t="inlineStr">
        <is>
          <t>Saturday afternoon works great for Paige, and a photography-focused hike with neighbors fits her love of photography perfectly. Free and no long drive mentioned, so count her in!</t>
        </is>
      </c>
      <c r="L147" s="24" t="inlineStr">
        <is>
          <t>Yes</t>
        </is>
      </c>
      <c r="M147" s="25" t="n"/>
      <c r="N147" s="26" t="inlineStr">
        <is>
          <t>#636 ask, #637 call, #648 reply</t>
        </is>
      </c>
    </row>
    <row r="148" ht="42" customHeight="1">
      <c r="A148" s="23" t="inlineStr">
        <is>
          <t>T1 2026-10-31/g5</t>
        </is>
      </c>
      <c r="B148" s="23" t="inlineStr">
        <is>
          <t>T1</t>
        </is>
      </c>
      <c r="C148" s="23" t="inlineStr">
        <is>
          <t>Green River Gorge hike</t>
        </is>
      </c>
      <c r="D148" s="23" t="inlineStr">
        <is>
          <t>e162 Chris A.</t>
        </is>
      </c>
      <c r="E148" s="24" t="n">
        <v>1</v>
      </c>
      <c r="F148" s="23" t="inlineStr">
        <is>
          <t>1:30pm-4pm</t>
        </is>
      </c>
      <c r="G148" s="23" t="inlineStr">
        <is>
          <t>Join 3 photography-minded neighbors Saturday, 1:30-4pm, for a hike in the Green River Gorge. Easy company and great views for your camera.</t>
        </is>
      </c>
      <c r="H148" s="23" t="inlineStr">
        <is>
          <t>nothing in the profile conflicts with it</t>
        </is>
      </c>
      <c r="I148" s="24" t="inlineStr">
        <is>
          <t>YES</t>
        </is>
      </c>
      <c r="J148" s="23" t="inlineStr">
        <is>
          <t>-</t>
        </is>
      </c>
      <c r="K148" s="23" t="inlineStr">
        <is>
          <t>This works well—Chris is free Saturday afternoon, loves photography, it's free, and a small neighborly group with great views sounds like a nice, low-key outing. Count Chris in.</t>
        </is>
      </c>
      <c r="L148" s="24" t="inlineStr">
        <is>
          <t>Yes</t>
        </is>
      </c>
      <c r="M148" s="25" t="n"/>
      <c r="N148" s="26" t="inlineStr">
        <is>
          <t>#641 ask, #642 call, #658 reply</t>
        </is>
      </c>
    </row>
    <row r="149" ht="42" customHeight="1">
      <c r="A149" s="23" t="inlineStr">
        <is>
          <t>T1 2026-10-31/g6</t>
        </is>
      </c>
      <c r="B149" s="23" t="inlineStr">
        <is>
          <t>T1</t>
        </is>
      </c>
      <c r="C149" s="23" t="inlineStr">
        <is>
          <t>Dog walk around the park</t>
        </is>
      </c>
      <c r="D149" s="23" t="inlineStr">
        <is>
          <t>e082 Isabel G.</t>
        </is>
      </c>
      <c r="E149" s="24" t="n">
        <v>1</v>
      </c>
      <c r="F149" s="23" t="inlineStr">
        <is>
          <t>5:30pm-6:30pm</t>
        </is>
      </c>
      <c r="G149" s="23" t="inlineStr">
        <is>
          <t>Evening dog walk around Lake Sawyer Regional Park, Saturday 5:30-6:30pm, with 3 other dog-loving neighbors. Bring your pup! Free and relaxed.</t>
        </is>
      </c>
      <c r="H149" s="23" t="inlineStr">
        <is>
          <t>nothing in the profile conflicts with it</t>
        </is>
      </c>
      <c r="I149" s="24" t="inlineStr">
        <is>
          <t>YES</t>
        </is>
      </c>
      <c r="J149" s="23" t="inlineStr">
        <is>
          <t>-</t>
        </is>
      </c>
      <c r="K149" s="23" t="inlineStr">
        <is>
          <t>Saturday evening works great for Isabel — she loves dog walks, it's free, and a small neighborly group sounds relaxed rather than crowded. Count her in!</t>
        </is>
      </c>
      <c r="L149" s="24" t="inlineStr">
        <is>
          <t>Yes</t>
        </is>
      </c>
      <c r="M149" s="25" t="n"/>
      <c r="N149" s="26" t="inlineStr">
        <is>
          <t>#646 ask, #647 call, #673 reply</t>
        </is>
      </c>
    </row>
    <row r="150" ht="29" customHeight="1">
      <c r="A150" s="23" t="inlineStr">
        <is>
          <t>T1 2026-10-31/g6</t>
        </is>
      </c>
      <c r="B150" s="23" t="inlineStr">
        <is>
          <t>T1</t>
        </is>
      </c>
      <c r="C150" s="23" t="inlineStr">
        <is>
          <t>Dog walk around the park</t>
        </is>
      </c>
      <c r="D150" s="23" t="inlineStr">
        <is>
          <t>e011 Claire P.</t>
        </is>
      </c>
      <c r="E150" s="24" t="n">
        <v>1</v>
      </c>
      <c r="F150" s="23" t="inlineStr">
        <is>
          <t>5:30pm-6:30pm</t>
        </is>
      </c>
      <c r="G150" s="23" t="inlineStr">
        <is>
          <t>Saturday 5:30-6:30pm: dog walk around Lake Sawyer park with 3 neighbors who love dog walks as much as you do. A chill way to meet people.</t>
        </is>
      </c>
      <c r="H150" s="23" t="inlineStr">
        <is>
          <t>nothing in the profile conflicts with it</t>
        </is>
      </c>
      <c r="I150" s="24" t="inlineStr">
        <is>
          <t>YES</t>
        </is>
      </c>
      <c r="J150" s="23" t="inlineStr">
        <is>
          <t>-</t>
        </is>
      </c>
      <c r="K150" s="23" t="inlineStr">
        <is>
          <t>Saturday evening works great for Claire — she's free then, loves dog walks, and it's free. Count her in!</t>
        </is>
      </c>
      <c r="L150" s="24" t="inlineStr">
        <is>
          <t>Yes</t>
        </is>
      </c>
      <c r="M150" s="25" t="n"/>
      <c r="N150" s="26" t="inlineStr">
        <is>
          <t>#651 ask, #652 call, #663 reply</t>
        </is>
      </c>
    </row>
    <row r="151" ht="42" customHeight="1">
      <c r="A151" s="23" t="inlineStr">
        <is>
          <t>T1 2026-10-31/g6</t>
        </is>
      </c>
      <c r="B151" s="23" t="inlineStr">
        <is>
          <t>T1</t>
        </is>
      </c>
      <c r="C151" s="23" t="inlineStr">
        <is>
          <t>Dog walk around the park</t>
        </is>
      </c>
      <c r="D151" s="23" t="inlineStr">
        <is>
          <t>e051 Nora B.</t>
        </is>
      </c>
      <c r="E151" s="24" t="n">
        <v>1</v>
      </c>
      <c r="F151" s="23" t="inlineStr">
        <is>
          <t>5:30pm-6:30pm</t>
        </is>
      </c>
      <c r="G151" s="23" t="inlineStr">
        <is>
          <t>Dog walk at Lake Sawyer Regional Park this Saturday, 5:30-6:30pm, with 3 other dog lovers. It's close to home for you, and the dogs do the introductions.</t>
        </is>
      </c>
      <c r="H151" s="23" t="inlineStr">
        <is>
          <t>nothing in the profile conflicts with it</t>
        </is>
      </c>
      <c r="I151" s="24" t="inlineStr">
        <is>
          <t>YES</t>
        </is>
      </c>
      <c r="J151" s="23" t="inlineStr">
        <is>
          <t>-</t>
        </is>
      </c>
      <c r="K151" s="23" t="inlineStr">
        <is>
          <t>Saturday 5:30-6:30pm works great for Nora — free evening, dog walk is right up her alley, and it's free. Count her in.</t>
        </is>
      </c>
      <c r="L151" s="24" t="inlineStr">
        <is>
          <t>Yes</t>
        </is>
      </c>
      <c r="M151" s="25" t="n"/>
      <c r="N151" s="26" t="inlineStr">
        <is>
          <t>#656 ask, #657 call, #668 reply</t>
        </is>
      </c>
    </row>
    <row r="152" ht="29" customHeight="1">
      <c r="A152" s="23" t="inlineStr">
        <is>
          <t>T1 2026-10-31/g6</t>
        </is>
      </c>
      <c r="B152" s="23" t="inlineStr">
        <is>
          <t>T1</t>
        </is>
      </c>
      <c r="C152" s="23" t="inlineStr">
        <is>
          <t>Dog walk around the park</t>
        </is>
      </c>
      <c r="D152" s="23" t="inlineStr">
        <is>
          <t>e045 Nora P.</t>
        </is>
      </c>
      <c r="E152" s="24" t="n">
        <v>1</v>
      </c>
      <c r="F152" s="23" t="inlineStr">
        <is>
          <t>5:30pm-6:30pm</t>
        </is>
      </c>
      <c r="G152" s="23" t="inlineStr">
        <is>
          <t>Join 3 neighbors and their dogs Saturday, 5:30-6:30pm, for a loop around Lake Sawyer Regional Park. Free, easy, and great company.</t>
        </is>
      </c>
      <c r="H152" s="23" t="inlineStr">
        <is>
          <t>nothing in the profile conflicts with it</t>
        </is>
      </c>
      <c r="I152" s="24" t="inlineStr">
        <is>
          <t>YES</t>
        </is>
      </c>
      <c r="J152" s="23" t="inlineStr">
        <is>
          <t>-</t>
        </is>
      </c>
      <c r="K152" s="23" t="inlineStr">
        <is>
          <t>Nora's free Saturday evening and loves dog walks — this fits perfectly, she's in for the Lake Sawyer walk at 5:30pm.</t>
        </is>
      </c>
      <c r="L152" s="24" t="inlineStr">
        <is>
          <t>Yes</t>
        </is>
      </c>
      <c r="M152" s="25" t="n"/>
      <c r="N152" s="26" t="inlineStr">
        <is>
          <t>#661 ask, #662 call, #678 reply</t>
        </is>
      </c>
    </row>
    <row r="153" ht="29" customHeight="1">
      <c r="A153" s="23" t="inlineStr">
        <is>
          <t>T1 2026-10-31/g7</t>
        </is>
      </c>
      <c r="B153" s="23" t="inlineStr">
        <is>
          <t>T1</t>
        </is>
      </c>
      <c r="C153" s="23" t="inlineStr">
        <is>
          <t>Pickleball doubles</t>
        </is>
      </c>
      <c r="D153" s="23" t="inlineStr">
        <is>
          <t>e019 Olivia R.</t>
        </is>
      </c>
      <c r="E153" s="24" t="n">
        <v>1</v>
      </c>
      <c r="F153" s="23" t="inlineStr">
        <is>
          <t>9am-10:30am</t>
        </is>
      </c>
      <c r="G153" s="23" t="inlineStr">
        <is>
          <t>Pickleball doubles at the public courts in Maple Valley, Saturday 9-10:30am, with 3 other keen players: just enough for a doubles match. Free.</t>
        </is>
      </c>
      <c r="H153" s="23" t="inlineStr">
        <is>
          <t>nothing in the profile conflicts with it</t>
        </is>
      </c>
      <c r="I153" s="24" t="inlineStr">
        <is>
          <t>YES</t>
        </is>
      </c>
      <c r="J153" s="23" t="inlineStr">
        <is>
          <t>-</t>
        </is>
      </c>
      <c r="K153" s="23" t="inlineStr">
        <is>
          <t>This is a great fit—Olivia loves pickleball, it's free, and Saturday morning works perfectly with her schedule. Count her in!</t>
        </is>
      </c>
      <c r="L153" s="24" t="inlineStr">
        <is>
          <t>Yes</t>
        </is>
      </c>
      <c r="M153" s="25" t="n"/>
      <c r="N153" s="26" t="inlineStr">
        <is>
          <t>#666 ask, #667 call, #683 reply</t>
        </is>
      </c>
    </row>
    <row r="154" ht="42" customHeight="1">
      <c r="A154" s="23" t="inlineStr">
        <is>
          <t>T1 2026-10-31/g7</t>
        </is>
      </c>
      <c r="B154" s="23" t="inlineStr">
        <is>
          <t>T1</t>
        </is>
      </c>
      <c r="C154" s="23" t="inlineStr">
        <is>
          <t>Pickleball doubles</t>
        </is>
      </c>
      <c r="D154" s="23" t="inlineStr">
        <is>
          <t>e138 Hana T.</t>
        </is>
      </c>
      <c r="E154" s="24" t="n">
        <v>1</v>
      </c>
      <c r="F154" s="23" t="inlineStr">
        <is>
          <t>9am-10:30am</t>
        </is>
      </c>
      <c r="G154" s="23" t="inlineStr">
        <is>
          <t>Saturday 9-10:30am: pickleball doubles in Maple Valley with 3 neighbors who love the game as much as you do. A fun, social morning on the courts.</t>
        </is>
      </c>
      <c r="H154" s="23" t="inlineStr">
        <is>
          <t>nothing in the profile conflicts with it</t>
        </is>
      </c>
      <c r="I154" s="24" t="inlineStr">
        <is>
          <t>YES</t>
        </is>
      </c>
      <c r="J154" s="23" t="inlineStr">
        <is>
          <t>-</t>
        </is>
      </c>
      <c r="K154" s="23" t="inlineStr">
        <is>
          <t>Saturday morning pickleball works great for Hana — she's free then, loves the game, it's free, and outdoor courts in the morning fit her preference for avoiding loud/late settings. Count her in!</t>
        </is>
      </c>
      <c r="L154" s="24" t="inlineStr">
        <is>
          <t>Yes</t>
        </is>
      </c>
      <c r="M154" s="25" t="n"/>
      <c r="N154" s="26" t="inlineStr">
        <is>
          <t>#671 ask, #672 call, #693 reply</t>
        </is>
      </c>
    </row>
    <row r="155" ht="42" customHeight="1">
      <c r="A155" s="23" t="inlineStr">
        <is>
          <t>T1 2026-10-31/g7</t>
        </is>
      </c>
      <c r="B155" s="23" t="inlineStr">
        <is>
          <t>T1</t>
        </is>
      </c>
      <c r="C155" s="23" t="inlineStr">
        <is>
          <t>Pickleball doubles</t>
        </is>
      </c>
      <c r="D155" s="23" t="inlineStr">
        <is>
          <t>e078 Kevin N.</t>
        </is>
      </c>
      <c r="E155" s="24" t="n">
        <v>1</v>
      </c>
      <c r="F155" s="23" t="inlineStr">
        <is>
          <t>9am-10:30am</t>
        </is>
      </c>
      <c r="G155" s="23" t="inlineStr">
        <is>
          <t>Doubles pickleball Saturday, 9-10:30am, at the Maple Valley public courts with 3 other enthusiasts. Free, and a good way to meet some locals.</t>
        </is>
      </c>
      <c r="H155" s="23" t="inlineStr">
        <is>
          <t>nothing in the profile conflicts with it</t>
        </is>
      </c>
      <c r="I155" s="24" t="inlineStr">
        <is>
          <t>YES</t>
        </is>
      </c>
      <c r="J155" s="23" t="inlineStr">
        <is>
          <t>-</t>
        </is>
      </c>
      <c r="K155" s="23" t="inlineStr">
        <is>
          <t>Saturday 9-10:30am works great for Kevin, he's free that morning and loves pickleball—count him in for the doubles at Maple Valley courts.</t>
        </is>
      </c>
      <c r="L155" s="24" t="inlineStr">
        <is>
          <t>Yes</t>
        </is>
      </c>
      <c r="M155" s="25" t="n"/>
      <c r="N155" s="26" t="inlineStr">
        <is>
          <t>#676 ask, #677 call, #688 reply</t>
        </is>
      </c>
    </row>
    <row r="156" ht="29" customHeight="1">
      <c r="A156" s="23" t="inlineStr">
        <is>
          <t>T1 2026-10-31/g7</t>
        </is>
      </c>
      <c r="B156" s="23" t="inlineStr">
        <is>
          <t>T1</t>
        </is>
      </c>
      <c r="C156" s="23" t="inlineStr">
        <is>
          <t>Pickleball doubles</t>
        </is>
      </c>
      <c r="D156" s="23" t="inlineStr">
        <is>
          <t>e043 Quinn J.</t>
        </is>
      </c>
      <c r="E156" s="24" t="n">
        <v>1</v>
      </c>
      <c r="F156" s="23" t="inlineStr">
        <is>
          <t>9am-10:30am</t>
        </is>
      </c>
      <c r="G156" s="23" t="inlineStr">
        <is>
          <t>Join 3 pickleball-loving neighbors Saturday, 9-10:30am, for doubles at the Maple Valley courts. A full foursome, ready to play.</t>
        </is>
      </c>
      <c r="H156" s="23" t="inlineStr">
        <is>
          <t>nothing in the profile conflicts with it</t>
        </is>
      </c>
      <c r="I156" s="24" t="inlineStr">
        <is>
          <t>YES</t>
        </is>
      </c>
      <c r="J156" s="23" t="inlineStr">
        <is>
          <t>-</t>
        </is>
      </c>
      <c r="K156" s="23" t="inlineStr">
        <is>
          <t>Quinn's free Saturday morning and loves pickleball, plus it's free at public courts—count them in for doubles at 9am!</t>
        </is>
      </c>
      <c r="L156" s="24" t="inlineStr">
        <is>
          <t>Yes</t>
        </is>
      </c>
      <c r="M156" s="25" t="n"/>
      <c r="N156" s="26" t="inlineStr">
        <is>
          <t>#681 ask, #682 call, #708 reply</t>
        </is>
      </c>
    </row>
    <row r="157" ht="29" customHeight="1">
      <c r="A157" s="23" t="inlineStr">
        <is>
          <t>T1 2026-10-31/g8</t>
        </is>
      </c>
      <c r="B157" s="23" t="inlineStr">
        <is>
          <t>T1</t>
        </is>
      </c>
      <c r="C157" s="23" t="inlineStr">
        <is>
          <t>Board game night</t>
        </is>
      </c>
      <c r="D157" s="23" t="inlineStr">
        <is>
          <t>e133 Jack W.</t>
        </is>
      </c>
      <c r="E157" s="24" t="n">
        <v>1</v>
      </c>
      <c r="F157" s="23" t="inlineStr">
        <is>
          <t>6:30pm-9:30pm</t>
        </is>
      </c>
      <c r="G157" s="23" t="inlineStr">
        <is>
          <t>Board game night at a neighbor's table Saturday, 6:30-9:30pm, with 3 others who love games. You were the keenest in town for this one. Free.</t>
        </is>
      </c>
      <c r="H157" s="23" t="inlineStr">
        <is>
          <t>nothing in the profile conflicts with it</t>
        </is>
      </c>
      <c r="I157" s="24" t="inlineStr">
        <is>
          <t>YES</t>
        </is>
      </c>
      <c r="J157" s="23" t="inlineStr">
        <is>
          <t>-</t>
        </is>
      </c>
      <c r="K157" s="23" t="inlineStr">
        <is>
          <t>Jack's free Saturday evening and loves board games, so this is a great fit. Count him in for 6:30-9:30pm!</t>
        </is>
      </c>
      <c r="L157" s="24" t="inlineStr">
        <is>
          <t>Yes</t>
        </is>
      </c>
      <c r="M157" s="25" t="n"/>
      <c r="N157" s="26" t="inlineStr">
        <is>
          <t>#686 ask, #687 call, #698 reply</t>
        </is>
      </c>
    </row>
    <row r="158" ht="42" customHeight="1">
      <c r="A158" s="23" t="inlineStr">
        <is>
          <t>T1 2026-10-31/g8</t>
        </is>
      </c>
      <c r="B158" s="23" t="inlineStr">
        <is>
          <t>T1</t>
        </is>
      </c>
      <c r="C158" s="23" t="inlineStr">
        <is>
          <t>Board game night</t>
        </is>
      </c>
      <c r="D158" s="23" t="inlineStr">
        <is>
          <t>e133 Jack W.</t>
        </is>
      </c>
      <c r="E158" s="24" t="n">
        <v>2</v>
      </c>
      <c r="F158" s="23" t="inlineStr">
        <is>
          <t>5:30pm-8pm</t>
        </is>
      </c>
      <c r="G158" s="23" t="inlineStr">
        <is>
          <t>Quick update on Saturday's board game night: we'd like to move it earlier to 5:30pm-8pm so it wraps up before late evening. Does the new time still work for Jack?</t>
        </is>
      </c>
      <c r="H158" s="23" t="inlineStr">
        <is>
          <t>nothing in the profile conflicts with it</t>
        </is>
      </c>
      <c r="I158" s="24" t="inlineStr">
        <is>
          <t>YES</t>
        </is>
      </c>
      <c r="J158" s="23" t="inlineStr">
        <is>
          <t>-</t>
        </is>
      </c>
      <c r="K158" s="23" t="inlineStr">
        <is>
          <t>5:30-8pm Saturday works for Jack—board games are right up his alley, count him in.</t>
        </is>
      </c>
      <c r="L158" s="24" t="inlineStr">
        <is>
          <t>Yes</t>
        </is>
      </c>
      <c r="M158" s="25" t="n"/>
      <c r="N158" s="26" t="inlineStr">
        <is>
          <t>#759 ask, #760 call, #767 reply</t>
        </is>
      </c>
    </row>
    <row r="159" ht="29" customHeight="1">
      <c r="A159" s="23" t="inlineStr">
        <is>
          <t>T1 2026-10-31/g8</t>
        </is>
      </c>
      <c r="B159" s="23" t="inlineStr">
        <is>
          <t>T1</t>
        </is>
      </c>
      <c r="C159" s="23" t="inlineStr">
        <is>
          <t>Board game night</t>
        </is>
      </c>
      <c r="D159" s="23" t="inlineStr">
        <is>
          <t>e173 Mateo T.</t>
        </is>
      </c>
      <c r="E159" s="24" t="n">
        <v>1</v>
      </c>
      <c r="F159" s="23" t="inlineStr">
        <is>
          <t>6:30pm-9:30pm</t>
        </is>
      </c>
      <c r="G159" s="23" t="inlineStr">
        <is>
          <t>Saturday 6:30-9:30pm: board game night with 3 neighbors who enjoy games as much as you do. Relaxed, free, and a great way to get to know people.</t>
        </is>
      </c>
      <c r="H159" s="23" t="inlineStr">
        <is>
          <t>nothing in the profile conflicts with it</t>
        </is>
      </c>
      <c r="I159" s="24" t="inlineStr">
        <is>
          <t>YES</t>
        </is>
      </c>
      <c r="J159" s="23" t="inlineStr">
        <is>
          <t>-</t>
        </is>
      </c>
      <c r="K159" s="23" t="inlineStr">
        <is>
          <t>Saturday evening works great for Mateo — free board game night with neighbors is right up his alley. Count him in!</t>
        </is>
      </c>
      <c r="L159" s="24" t="inlineStr">
        <is>
          <t>Yes</t>
        </is>
      </c>
      <c r="M159" s="25" t="n"/>
      <c r="N159" s="26" t="inlineStr">
        <is>
          <t>#691 ask, #692 call, #703 reply</t>
        </is>
      </c>
    </row>
    <row r="160" ht="42" customHeight="1">
      <c r="A160" s="23" t="inlineStr">
        <is>
          <t>T1 2026-10-31/g8</t>
        </is>
      </c>
      <c r="B160" s="23" t="inlineStr">
        <is>
          <t>T1</t>
        </is>
      </c>
      <c r="C160" s="23" t="inlineStr">
        <is>
          <t>Board game night</t>
        </is>
      </c>
      <c r="D160" s="23" t="inlineStr">
        <is>
          <t>e173 Mateo T.</t>
        </is>
      </c>
      <c r="E160" s="24" t="n">
        <v>2</v>
      </c>
      <c r="F160" s="23" t="inlineStr">
        <is>
          <t>5:30pm-8pm</t>
        </is>
      </c>
      <c r="G160" s="23" t="inlineStr">
        <is>
          <t>Quick update on Saturday's board game night: we'd like to move it earlier to 5:30pm-8pm so it wraps up before late evening. Does the new time still work for Mateo?</t>
        </is>
      </c>
      <c r="H160" s="23" t="inlineStr">
        <is>
          <t>nothing in the profile conflicts with it</t>
        </is>
      </c>
      <c r="I160" s="24" t="inlineStr">
        <is>
          <t>YES</t>
        </is>
      </c>
      <c r="J160" s="23" t="inlineStr">
        <is>
          <t>-</t>
        </is>
      </c>
      <c r="K160" s="23" t="inlineStr">
        <is>
          <t>Saturday 5:30-8pm works great for Mateo — he's free that evening and loves board games, and free is right in his budget. He's in!</t>
        </is>
      </c>
      <c r="L160" s="24" t="inlineStr">
        <is>
          <t>Yes</t>
        </is>
      </c>
      <c r="M160" s="25" t="n"/>
      <c r="N160" s="26" t="inlineStr">
        <is>
          <t>#761 ask, #762 call, #778 reply</t>
        </is>
      </c>
    </row>
    <row r="161" ht="42" customHeight="1">
      <c r="A161" s="23" t="inlineStr">
        <is>
          <t>T1 2026-10-31/g8</t>
        </is>
      </c>
      <c r="B161" s="23" t="inlineStr">
        <is>
          <t>T1</t>
        </is>
      </c>
      <c r="C161" s="23" t="inlineStr">
        <is>
          <t>Board game night</t>
        </is>
      </c>
      <c r="D161" s="23" t="inlineStr">
        <is>
          <t>e200 Hunter C.</t>
        </is>
      </c>
      <c r="E161" s="24" t="n">
        <v>1</v>
      </c>
      <c r="F161" s="23" t="inlineStr">
        <is>
          <t>6:30pm-9:30pm</t>
        </is>
      </c>
      <c r="G161" s="23" t="inlineStr">
        <is>
          <t>Join a board game night Saturday, 6:30-9:30pm, at a neighbor's home with 3 other game fans. Easygoing and free.</t>
        </is>
      </c>
      <c r="H161" s="23" t="inlineStr">
        <is>
          <t>It runs to 9pm or later, and Hunter avoids late nights.</t>
        </is>
      </c>
      <c r="I161" s="24" t="inlineStr">
        <is>
          <t>COUNTER</t>
        </is>
      </c>
      <c r="J161" s="23" t="inlineStr">
        <is>
          <t>Start a bit earlier, like 5:30-8pm, so it wraps up before late evening.</t>
        </is>
      </c>
      <c r="K161" s="23" t="inlineStr">
        <is>
          <t>Hunter loves board games and this fits his free Saturday evening, but he avoids late nights—could it run 5:30-8pm instead of ending at 9:30?</t>
        </is>
      </c>
      <c r="L161" s="24" t="inlineStr">
        <is>
          <t>Yes</t>
        </is>
      </c>
      <c r="M161" s="25" t="n"/>
      <c r="N161" s="26" t="inlineStr">
        <is>
          <t>#696 ask, #697 call, #713 reply</t>
        </is>
      </c>
    </row>
    <row r="162" ht="42" customHeight="1">
      <c r="A162" s="23" t="inlineStr">
        <is>
          <t>T1 2026-10-31/g8</t>
        </is>
      </c>
      <c r="B162" s="23" t="inlineStr">
        <is>
          <t>T1</t>
        </is>
      </c>
      <c r="C162" s="23" t="inlineStr">
        <is>
          <t>Board game night</t>
        </is>
      </c>
      <c r="D162" s="23" t="inlineStr">
        <is>
          <t>e200 Hunter C.</t>
        </is>
      </c>
      <c r="E162" s="24" t="n">
        <v>2</v>
      </c>
      <c r="F162" s="23" t="inlineStr">
        <is>
          <t>5:30pm-8pm</t>
        </is>
      </c>
      <c r="G162" s="23" t="inlineStr">
        <is>
          <t>Good news: we're moving Saturday's board game night to 5:30pm-8pm as Hunter suggested. I'm checking with the rest of the group now and will confirm shortly. Can you confirm Hunter is in at 5:30pm-8pm?</t>
        </is>
      </c>
      <c r="H162" s="23" t="inlineStr">
        <is>
          <t>nothing in the profile conflicts with it</t>
        </is>
      </c>
      <c r="I162" s="24" t="inlineStr">
        <is>
          <t>YES</t>
        </is>
      </c>
      <c r="J162" s="23" t="inlineStr">
        <is>
          <t>-</t>
        </is>
      </c>
      <c r="K162" s="23" t="inlineStr">
        <is>
          <t>Saturday 5:30-8pm works great for Hunter — board games are a favorite, it's free, and it fits his evening availability. Confirmed!</t>
        </is>
      </c>
      <c r="L162" s="24" t="inlineStr">
        <is>
          <t>Yes</t>
        </is>
      </c>
      <c r="M162" s="25" t="n"/>
      <c r="N162" s="26" t="inlineStr">
        <is>
          <t>#765 ask, #766 call, #775 reply</t>
        </is>
      </c>
    </row>
    <row r="163" ht="42" customHeight="1">
      <c r="A163" s="23" t="inlineStr">
        <is>
          <t>T1 2026-10-31/g8</t>
        </is>
      </c>
      <c r="B163" s="23" t="inlineStr">
        <is>
          <t>T1</t>
        </is>
      </c>
      <c r="C163" s="23" t="inlineStr">
        <is>
          <t>Board game night</t>
        </is>
      </c>
      <c r="D163" s="23" t="inlineStr">
        <is>
          <t>e196 Arjun S.</t>
        </is>
      </c>
      <c r="E163" s="24" t="n">
        <v>1</v>
      </c>
      <c r="F163" s="23" t="inlineStr">
        <is>
          <t>6:30pm-9:30pm</t>
        </is>
      </c>
      <c r="G163" s="23" t="inlineStr">
        <is>
          <t>Board game night Saturday, 6:30-9:30pm, with 3 neighbors at a rotating host's table. Games and maybe some trivia-style fun. Free.</t>
        </is>
      </c>
      <c r="H163" s="23" t="inlineStr">
        <is>
          <t>nothing in the profile conflicts with it</t>
        </is>
      </c>
      <c r="I163" s="24" t="inlineStr">
        <is>
          <t>YES</t>
        </is>
      </c>
      <c r="J163" s="23" t="inlineStr">
        <is>
          <t>-</t>
        </is>
      </c>
      <c r="K163" s="23" t="inlineStr">
        <is>
          <t>Saturday evening works great for Arjun — board games and trivia-style fun with neighbors, and free fits his budget perfectly. Count him in!</t>
        </is>
      </c>
      <c r="L163" s="24" t="inlineStr">
        <is>
          <t>Yes</t>
        </is>
      </c>
      <c r="M163" s="25" t="n"/>
      <c r="N163" s="26" t="inlineStr">
        <is>
          <t>#701 ask, #702 call, #718 reply</t>
        </is>
      </c>
    </row>
    <row r="164" ht="42" customHeight="1">
      <c r="A164" s="23" t="inlineStr">
        <is>
          <t>T1 2026-10-31/g8</t>
        </is>
      </c>
      <c r="B164" s="23" t="inlineStr">
        <is>
          <t>T1</t>
        </is>
      </c>
      <c r="C164" s="23" t="inlineStr">
        <is>
          <t>Board game night</t>
        </is>
      </c>
      <c r="D164" s="23" t="inlineStr">
        <is>
          <t>e196 Arjun S.</t>
        </is>
      </c>
      <c r="E164" s="24" t="n">
        <v>2</v>
      </c>
      <c r="F164" s="23" t="inlineStr">
        <is>
          <t>5:30pm-8pm</t>
        </is>
      </c>
      <c r="G164" s="23" t="inlineStr">
        <is>
          <t>Quick update on Saturday's board game night: we'd like to move it earlier to 5:30pm-8pm so it wraps up before late evening. Does the new time still work for Arjun?</t>
        </is>
      </c>
      <c r="H164" s="23" t="inlineStr">
        <is>
          <t>nothing in the profile conflicts with it</t>
        </is>
      </c>
      <c r="I164" s="24" t="inlineStr">
        <is>
          <t>YES</t>
        </is>
      </c>
      <c r="J164" s="23" t="inlineStr">
        <is>
          <t>-</t>
        </is>
      </c>
      <c r="K164" s="23" t="inlineStr">
        <is>
          <t>Saturday 5:30-8pm works great for Arjun — he's free that evening, loves board games, and free is right in his budget. Count him in!</t>
        </is>
      </c>
      <c r="L164" s="24" t="inlineStr">
        <is>
          <t>Yes</t>
        </is>
      </c>
      <c r="M164" s="25" t="n"/>
      <c r="N164" s="26" t="inlineStr">
        <is>
          <t>#763 ask, #764 call, #772 reply</t>
        </is>
      </c>
    </row>
    <row r="165" ht="42" customHeight="1">
      <c r="A165" s="23" t="inlineStr">
        <is>
          <t>T1 2026-10-31/g9</t>
        </is>
      </c>
      <c r="B165" s="23" t="inlineStr">
        <is>
          <t>T1</t>
        </is>
      </c>
      <c r="C165" s="23" t="inlineStr">
        <is>
          <t>Mountain bike the Black Diamond Open Space</t>
        </is>
      </c>
      <c r="D165" s="23" t="inlineStr">
        <is>
          <t>e091 Wyatt H.</t>
        </is>
      </c>
      <c r="E165" s="24" t="n">
        <v>1</v>
      </c>
      <c r="F165" s="23" t="inlineStr">
        <is>
          <t>5pm-7pm</t>
        </is>
      </c>
      <c r="G165" s="23" t="inlineStr">
        <is>
          <t>Mountain biking the Black Diamond Open Space singletrack Saturday, 5-7pm, with 3 other riders around your age. Free, and you were one of the keenest.</t>
        </is>
      </c>
      <c r="H165" s="23" t="inlineStr">
        <is>
          <t>nothing in the profile conflicts with it</t>
        </is>
      </c>
      <c r="I165" s="24" t="inlineStr">
        <is>
          <t>YES</t>
        </is>
      </c>
      <c r="J165" s="23" t="inlineStr">
        <is>
          <t>-</t>
        </is>
      </c>
      <c r="K165" s="23" t="inlineStr">
        <is>
          <t>Wyatt's in—mountain biking Saturday evening at Black Diamond Open Space fits his schedule perfectly and it's one of his favorite activities. Count him in!</t>
        </is>
      </c>
      <c r="L165" s="24" t="inlineStr">
        <is>
          <t>Yes</t>
        </is>
      </c>
      <c r="M165" s="25" t="n"/>
      <c r="N165" s="26" t="inlineStr">
        <is>
          <t>#706 ask, #707 call, #728 reply</t>
        </is>
      </c>
    </row>
    <row r="166" ht="42" customHeight="1">
      <c r="A166" s="23" t="inlineStr">
        <is>
          <t>T1 2026-10-31/g9</t>
        </is>
      </c>
      <c r="B166" s="23" t="inlineStr">
        <is>
          <t>T1</t>
        </is>
      </c>
      <c r="C166" s="23" t="inlineStr">
        <is>
          <t>Mountain bike the Black Diamond Open Space</t>
        </is>
      </c>
      <c r="D166" s="23" t="inlineStr">
        <is>
          <t>e160 Imani K.</t>
        </is>
      </c>
      <c r="E166" s="24" t="n">
        <v>1</v>
      </c>
      <c r="F166" s="23" t="inlineStr">
        <is>
          <t>5pm-7pm</t>
        </is>
      </c>
      <c r="G166" s="23" t="inlineStr">
        <is>
          <t>Saturday 5-7pm: ride the Black Diamond Open Space trails with 3 fellow mountain bikers, all students or young locals. Good riding, good company.</t>
        </is>
      </c>
      <c r="H166" s="23" t="inlineStr">
        <is>
          <t>nothing in the profile conflicts with it</t>
        </is>
      </c>
      <c r="I166" s="24" t="inlineStr">
        <is>
          <t>YES</t>
        </is>
      </c>
      <c r="J166" s="23" t="inlineStr">
        <is>
          <t>-</t>
        </is>
      </c>
      <c r="K166" s="23" t="inlineStr">
        <is>
          <t>Saturday 5-7pm mountain biking at Black Diamond Open Space fits Imani's free evening perfectly and matches her love of mountain biking—she's in!</t>
        </is>
      </c>
      <c r="L166" s="24" t="inlineStr">
        <is>
          <t>Yes</t>
        </is>
      </c>
      <c r="M166" s="25" t="n"/>
      <c r="N166" s="26" t="inlineStr">
        <is>
          <t>#711 ask, #712 call, #723 reply</t>
        </is>
      </c>
    </row>
    <row r="167" ht="29" customHeight="1">
      <c r="A167" s="23" t="inlineStr">
        <is>
          <t>T1 2026-10-31/g9</t>
        </is>
      </c>
      <c r="B167" s="23" t="inlineStr">
        <is>
          <t>T1</t>
        </is>
      </c>
      <c r="C167" s="23" t="inlineStr">
        <is>
          <t>Mountain bike the Black Diamond Open Space</t>
        </is>
      </c>
      <c r="D167" s="23" t="inlineStr">
        <is>
          <t>e059 Donna B.</t>
        </is>
      </c>
      <c r="E167" s="24" t="n">
        <v>1</v>
      </c>
      <c r="F167" s="23" t="inlineStr">
        <is>
          <t>5pm-7pm</t>
        </is>
      </c>
      <c r="G167" s="23" t="inlineStr">
        <is>
          <t>Evening mountain bike ride at Black Diamond Open Space, Saturday 5-7pm, with 3 other riders your age who love the trails. Free.</t>
        </is>
      </c>
      <c r="H167" s="23" t="inlineStr">
        <is>
          <t>nothing in the profile conflicts with it</t>
        </is>
      </c>
      <c r="I167" s="24" t="inlineStr">
        <is>
          <t>YES</t>
        </is>
      </c>
      <c r="J167" s="23" t="inlineStr">
        <is>
          <t>-</t>
        </is>
      </c>
      <c r="K167" s="23" t="inlineStr">
        <is>
          <t>Donna's free Saturday evening and mountain biking is her top love, so a free group ride at Black Diamond sounds great — she's in!</t>
        </is>
      </c>
      <c r="L167" s="24" t="inlineStr">
        <is>
          <t>Yes</t>
        </is>
      </c>
      <c r="M167" s="25" t="n"/>
      <c r="N167" s="26" t="inlineStr">
        <is>
          <t>#716 ask, #717 call, #746 reply</t>
        </is>
      </c>
    </row>
    <row r="168" ht="29" customHeight="1">
      <c r="A168" s="23" t="inlineStr">
        <is>
          <t>T1 2026-10-31/g9</t>
        </is>
      </c>
      <c r="B168" s="23" t="inlineStr">
        <is>
          <t>T1</t>
        </is>
      </c>
      <c r="C168" s="23" t="inlineStr">
        <is>
          <t>Mountain bike the Black Diamond Open Space</t>
        </is>
      </c>
      <c r="D168" s="23" t="inlineStr">
        <is>
          <t>e076 Nora J.</t>
        </is>
      </c>
      <c r="E168" s="24" t="n">
        <v>1</v>
      </c>
      <c r="F168" s="23" t="inlineStr">
        <is>
          <t>5pm-7pm</t>
        </is>
      </c>
      <c r="G168" s="23" t="inlineStr">
        <is>
          <t>Join 3 young riders Saturday, 5-7pm, for singletrack at the Black Diamond Open Space. A fun, low-key way to meet people. Free.</t>
        </is>
      </c>
      <c r="H168" s="23" t="inlineStr">
        <is>
          <t>nothing in the profile conflicts with it</t>
        </is>
      </c>
      <c r="I168" s="24" t="inlineStr">
        <is>
          <t>YES</t>
        </is>
      </c>
      <c r="J168" s="23" t="inlineStr">
        <is>
          <t>-</t>
        </is>
      </c>
      <c r="K168" s="23" t="inlineStr">
        <is>
          <t>Nora's free Saturday evening, loves mountain biking, and this is free and low-key—sounds like a great fit. Count her in!</t>
        </is>
      </c>
      <c r="L168" s="24" t="inlineStr">
        <is>
          <t>Yes</t>
        </is>
      </c>
      <c r="M168" s="25" t="n"/>
      <c r="N168" s="26" t="inlineStr">
        <is>
          <t>#721 ask, #722 call, #733 reply</t>
        </is>
      </c>
    </row>
    <row r="169" ht="29" customHeight="1">
      <c r="A169" s="23" t="inlineStr">
        <is>
          <t>T1 2026-10-31/g10</t>
        </is>
      </c>
      <c r="B169" s="23" t="inlineStr">
        <is>
          <t>T1</t>
        </is>
      </c>
      <c r="C169" s="23" t="inlineStr">
        <is>
          <t>Easy 5K together</t>
        </is>
      </c>
      <c r="D169" s="23" t="inlineStr">
        <is>
          <t>e088 Hannah R.</t>
        </is>
      </c>
      <c r="E169" s="24" t="n">
        <v>1</v>
      </c>
      <c r="F169" s="23" t="inlineStr">
        <is>
          <t>8:30am-9:30am</t>
        </is>
      </c>
      <c r="G169" s="23" t="inlineStr">
        <is>
          <t>Easy 5K on the Ten Trails paths Saturday, 8:30-9:30am, with 3 other neighbors who love running. A friendly pace, chatting the whole way. Free.</t>
        </is>
      </c>
      <c r="H169" s="23" t="inlineStr">
        <is>
          <t>nothing in the profile conflicts with it</t>
        </is>
      </c>
      <c r="I169" s="24" t="inlineStr">
        <is>
          <t>YES</t>
        </is>
      </c>
      <c r="J169" s="23" t="inlineStr">
        <is>
          <t>-</t>
        </is>
      </c>
      <c r="K169" s="23" t="inlineStr">
        <is>
          <t>Saturday morning works great for Hannah — she loves running, so an easy 5K with neighbors at Ten Trails at 8:30am is a yes!</t>
        </is>
      </c>
      <c r="L169" s="24" t="inlineStr">
        <is>
          <t>Yes</t>
        </is>
      </c>
      <c r="M169" s="25" t="n"/>
      <c r="N169" s="26" t="inlineStr">
        <is>
          <t>#726 ask, #727 call, #738 reply</t>
        </is>
      </c>
    </row>
    <row r="170" ht="42" customHeight="1">
      <c r="A170" s="23" t="inlineStr">
        <is>
          <t>T1 2026-10-31/g10</t>
        </is>
      </c>
      <c r="B170" s="23" t="inlineStr">
        <is>
          <t>T1</t>
        </is>
      </c>
      <c r="C170" s="23" t="inlineStr">
        <is>
          <t>Easy 5K together</t>
        </is>
      </c>
      <c r="D170" s="23" t="inlineStr">
        <is>
          <t>e093 Matt W.</t>
        </is>
      </c>
      <c r="E170" s="24" t="n">
        <v>1</v>
      </c>
      <c r="F170" s="23" t="inlineStr">
        <is>
          <t>8:30am-9:30am</t>
        </is>
      </c>
      <c r="G170" s="23" t="inlineStr">
        <is>
          <t>Saturday 8:30-9:30am: easy 5K together on the Ten Trails network, right in your neighborhood, with 3 other runners. Conversational pace, no pressure.</t>
        </is>
      </c>
      <c r="H170" s="23" t="inlineStr">
        <is>
          <t>nothing in the profile conflicts with it</t>
        </is>
      </c>
      <c r="I170" s="24" t="inlineStr">
        <is>
          <t>YES</t>
        </is>
      </c>
      <c r="J170" s="23" t="inlineStr">
        <is>
          <t>-</t>
        </is>
      </c>
      <c r="K170" s="23" t="inlineStr">
        <is>
          <t>This fits perfectly—Saturday morning is free, it's free of cost, and Matt loves running right in his own Ten Trails neighborhood. Count him in.</t>
        </is>
      </c>
      <c r="L170" s="24" t="inlineStr">
        <is>
          <t>Yes</t>
        </is>
      </c>
      <c r="M170" s="25" t="n"/>
      <c r="N170" s="26" t="inlineStr">
        <is>
          <t>#731 ask, #732 call, #743 reply</t>
        </is>
      </c>
    </row>
    <row r="171" ht="29" customHeight="1">
      <c r="A171" s="23" t="inlineStr">
        <is>
          <t>T1 2026-10-31/g10</t>
        </is>
      </c>
      <c r="B171" s="23" t="inlineStr">
        <is>
          <t>T1</t>
        </is>
      </c>
      <c r="C171" s="23" t="inlineStr">
        <is>
          <t>Easy 5K together</t>
        </is>
      </c>
      <c r="D171" s="23" t="inlineStr">
        <is>
          <t>e064 Noah M.</t>
        </is>
      </c>
      <c r="E171" s="24" t="n">
        <v>1</v>
      </c>
      <c r="F171" s="23" t="inlineStr">
        <is>
          <t>8:30am-9:30am</t>
        </is>
      </c>
      <c r="G171" s="23" t="inlineStr">
        <is>
          <t>Join 3 running neighbors Saturday, 8:30-9:30am, for an easy 5K on the Ten Trails paths close to home. Free and social.</t>
        </is>
      </c>
      <c r="H171" s="23" t="inlineStr">
        <is>
          <t>nothing in the profile conflicts with it</t>
        </is>
      </c>
      <c r="I171" s="24" t="inlineStr">
        <is>
          <t>YES</t>
        </is>
      </c>
      <c r="J171" s="23" t="inlineStr">
        <is>
          <t>-</t>
        </is>
      </c>
      <c r="K171" s="23" t="inlineStr">
        <is>
          <t>This fits perfectly — Noah loves running, Saturday morning is free, it's free cost, and local trails close to home. Count Noah in!</t>
        </is>
      </c>
      <c r="L171" s="24" t="inlineStr">
        <is>
          <t>Yes</t>
        </is>
      </c>
      <c r="M171" s="25" t="n"/>
      <c r="N171" s="26" t="inlineStr">
        <is>
          <t>#736 ask, #737 call, #749 reply</t>
        </is>
      </c>
    </row>
    <row r="172" ht="42" customHeight="1">
      <c r="A172" s="23" t="inlineStr">
        <is>
          <t>T1 2026-10-31/g10</t>
        </is>
      </c>
      <c r="B172" s="23" t="inlineStr">
        <is>
          <t>T1</t>
        </is>
      </c>
      <c r="C172" s="23" t="inlineStr">
        <is>
          <t>Easy 5K together</t>
        </is>
      </c>
      <c r="D172" s="23" t="inlineStr">
        <is>
          <t>e032 Ava N.</t>
        </is>
      </c>
      <c r="E172" s="24" t="n">
        <v>1</v>
      </c>
      <c r="F172" s="23" t="inlineStr">
        <is>
          <t>8:30am-9:30am</t>
        </is>
      </c>
      <c r="G172" s="23" t="inlineStr">
        <is>
          <t>Easy-pace 5K Saturday, 8:30-9:30am, at the Ten Trails network with 3 other keen runners. A nice way to start the weekend and meet people.</t>
        </is>
      </c>
      <c r="H172" s="23" t="inlineStr">
        <is>
          <t>nothing in the profile conflicts with it</t>
        </is>
      </c>
      <c r="I172" s="24" t="inlineStr">
        <is>
          <t>YES</t>
        </is>
      </c>
      <c r="J172" s="23" t="inlineStr">
        <is>
          <t>-</t>
        </is>
      </c>
      <c r="K172" s="23" t="inlineStr">
        <is>
          <t>Ava loves running and Saturday morning is free, plus it's free cost - this sounds like a great fit. She's in for the easy 5K at Ten Trails.</t>
        </is>
      </c>
      <c r="L172" s="24" t="inlineStr">
        <is>
          <t>Yes</t>
        </is>
      </c>
      <c r="M172" s="25" t="n"/>
      <c r="N172" s="26" t="inlineStr">
        <is>
          <t>#741 ask, #742 call, #752 reply</t>
        </is>
      </c>
    </row>
    <row r="173" ht="42" customHeight="1">
      <c r="A173" s="23" t="inlineStr">
        <is>
          <t>T1 2026-11-01/g1</t>
        </is>
      </c>
      <c r="B173" s="23" t="inlineStr">
        <is>
          <t>T1</t>
        </is>
      </c>
      <c r="C173" s="23" t="inlineStr">
        <is>
          <t>Watch the Seahawks over beers</t>
        </is>
      </c>
      <c r="D173" s="23" t="inlineStr">
        <is>
          <t>e075 Rosa G.</t>
        </is>
      </c>
      <c r="E173" s="24" t="n">
        <v>1</v>
      </c>
      <c r="F173" s="23" t="inlineStr">
        <is>
          <t>1:25pm-4:30pm</t>
        </is>
      </c>
      <c r="G173" s="23" t="inlineStr">
        <is>
          <t>Seahawks game at The Vault Taphouse &amp; Beer Garden, Sunday 1:25-4:30pm, with 3 other neighbors. You love watching sports and a good craft beer, so this felt like a natural one for you.</t>
        </is>
      </c>
      <c r="H173" s="23" t="inlineStr">
        <is>
          <t>nothing in the profile conflicts with it</t>
        </is>
      </c>
      <c r="I173" s="24" t="inlineStr">
        <is>
          <t>YES</t>
        </is>
      </c>
      <c r="J173" s="23" t="inlineStr">
        <is>
          <t>-</t>
        </is>
      </c>
      <c r="K173" s="23" t="inlineStr">
        <is>
          <t>This is a great fit—Rosa's free Sunday afternoon, loves watching sports and craft beer, and it's low-cost. She's in!</t>
        </is>
      </c>
      <c r="L173" s="24" t="inlineStr">
        <is>
          <t>Yes</t>
        </is>
      </c>
      <c r="M173" s="25" t="n"/>
      <c r="N173" s="26" t="inlineStr">
        <is>
          <t>#846 ask, #847 call, #854 reply</t>
        </is>
      </c>
    </row>
    <row r="174" ht="42" customHeight="1">
      <c r="A174" s="23" t="inlineStr">
        <is>
          <t>T1 2026-11-01/g1</t>
        </is>
      </c>
      <c r="B174" s="23" t="inlineStr">
        <is>
          <t>T1</t>
        </is>
      </c>
      <c r="C174" s="23" t="inlineStr">
        <is>
          <t>Watch the Seahawks over beers</t>
        </is>
      </c>
      <c r="D174" s="23" t="inlineStr">
        <is>
          <t>e051 Nora B.</t>
        </is>
      </c>
      <c r="E174" s="24" t="n">
        <v>1</v>
      </c>
      <c r="F174" s="23" t="inlineStr">
        <is>
          <t>1:25pm-4:30pm</t>
        </is>
      </c>
      <c r="G174" s="23" t="inlineStr">
        <is>
          <t>Sunday 1:25-4:30pm: watch the Seahawks over beers at The Vault Taphouse with 3 other neighbors. It's a relaxed afternoon built around craft beer, which you rate highly.</t>
        </is>
      </c>
      <c r="H174" s="23" t="inlineStr">
        <is>
          <t>nothing in the profile conflicts with it</t>
        </is>
      </c>
      <c r="I174" s="24" t="inlineStr">
        <is>
          <t>YES</t>
        </is>
      </c>
      <c r="J174" s="23" t="inlineStr">
        <is>
          <t>-</t>
        </is>
      </c>
      <c r="K174" s="23" t="inlineStr">
        <is>
          <t>Sunday afternoon is free for Nora, and craft beer with a relaxed neighborhood crowd is right up her alley. Count her in for The Vault Taphouse.</t>
        </is>
      </c>
      <c r="L174" s="24" t="inlineStr">
        <is>
          <t>Yes</t>
        </is>
      </c>
      <c r="M174" s="25" t="n"/>
      <c r="N174" s="26" t="inlineStr">
        <is>
          <t>#848 ask, #849 call, #869 reply</t>
        </is>
      </c>
    </row>
    <row r="175" ht="42" customHeight="1">
      <c r="A175" s="23" t="inlineStr">
        <is>
          <t>T1 2026-11-01/g1</t>
        </is>
      </c>
      <c r="B175" s="23" t="inlineStr">
        <is>
          <t>T1</t>
        </is>
      </c>
      <c r="C175" s="23" t="inlineStr">
        <is>
          <t>Watch the Seahawks over beers</t>
        </is>
      </c>
      <c r="D175" s="23" t="inlineStr">
        <is>
          <t>e003 Min-jun C.</t>
        </is>
      </c>
      <c r="E175" s="24" t="n">
        <v>1</v>
      </c>
      <c r="F175" s="23" t="inlineStr">
        <is>
          <t>1:25pm-4:30pm</t>
        </is>
      </c>
      <c r="G175" s="23" t="inlineStr">
        <is>
          <t>Catch the Seahawks at The Vault Taphouse on Sunday, 1:25-4:30pm, with 3 friendly neighbors. Watching sports is your top pick, and it's always better with a group to cheer with.</t>
        </is>
      </c>
      <c r="H175" s="23" t="inlineStr">
        <is>
          <t>nothing in the profile conflicts with it</t>
        </is>
      </c>
      <c r="I175" s="24" t="inlineStr">
        <is>
          <t>YES</t>
        </is>
      </c>
      <c r="J175" s="23" t="inlineStr">
        <is>
          <t>-</t>
        </is>
      </c>
      <c r="K175" s="23" t="inlineStr">
        <is>
          <t>Min-jun is free Sunday afternoon and loves watching sports, so catching the Seahawks with neighbors at The Vault sounds great to him. Please confirm him for this one.</t>
        </is>
      </c>
      <c r="L175" s="24" t="inlineStr">
        <is>
          <t>Yes</t>
        </is>
      </c>
      <c r="M175" s="25" t="n"/>
      <c r="N175" s="26" t="inlineStr">
        <is>
          <t>#850 ask, #851 call, #864 reply</t>
        </is>
      </c>
    </row>
    <row r="176" ht="42" customHeight="1">
      <c r="A176" s="23" t="inlineStr">
        <is>
          <t>T1 2026-11-01/g1</t>
        </is>
      </c>
      <c r="B176" s="23" t="inlineStr">
        <is>
          <t>T1</t>
        </is>
      </c>
      <c r="C176" s="23" t="inlineStr">
        <is>
          <t>Watch the Seahawks over beers</t>
        </is>
      </c>
      <c r="D176" s="23" t="inlineStr">
        <is>
          <t>e113 Seo-yeon L.</t>
        </is>
      </c>
      <c r="E176" s="24" t="n">
        <v>1</v>
      </c>
      <c r="F176" s="23" t="inlineStr">
        <is>
          <t>1:25pm-4:30pm</t>
        </is>
      </c>
      <c r="G176" s="23" t="inlineStr">
        <is>
          <t>Sunday 1:25-4:30pm, Seahawks at The Vault Taphouse &amp; Beer Garden with 3 other neighbors. You're a big sports watcher, and this is a low-key way to meet a few locals over the game.</t>
        </is>
      </c>
      <c r="H176" s="23" t="inlineStr">
        <is>
          <t>nothing in the profile conflicts with it</t>
        </is>
      </c>
      <c r="I176" s="24" t="inlineStr">
        <is>
          <t>YES</t>
        </is>
      </c>
      <c r="J176" s="23" t="inlineStr">
        <is>
          <t>-</t>
        </is>
      </c>
      <c r="K176" s="23" t="inlineStr">
        <is>
          <t>Sunday afternoon works great for Seo-yeon, and watching the Seahawks fits her love of watching sports perfectly—count her in.</t>
        </is>
      </c>
      <c r="L176" s="24" t="inlineStr">
        <is>
          <t>Yes</t>
        </is>
      </c>
      <c r="M176" s="25" t="n"/>
      <c r="N176" s="26" t="inlineStr">
        <is>
          <t>#852 ask, #853 call, #859 reply</t>
        </is>
      </c>
    </row>
    <row r="177" ht="42" customHeight="1">
      <c r="A177" s="23" t="inlineStr">
        <is>
          <t>T1 2026-11-01/g2</t>
        </is>
      </c>
      <c r="B177" s="23" t="inlineStr">
        <is>
          <t>T1</t>
        </is>
      </c>
      <c r="C177" s="23" t="inlineStr">
        <is>
          <t>Watch the Seahawks over beers</t>
        </is>
      </c>
      <c r="D177" s="23" t="inlineStr">
        <is>
          <t>e058 Brooke B.</t>
        </is>
      </c>
      <c r="E177" s="24" t="n">
        <v>1</v>
      </c>
      <c r="F177" s="23" t="inlineStr">
        <is>
          <t>5:20pm-8:30pm</t>
        </is>
      </c>
      <c r="G177" s="23" t="inlineStr">
        <is>
          <t>Sunday evening Seahawks game at The Vault Taphouse, 5:20-8:30pm, with 3 other neighbors. You love watching sports and a good meal out, so this is right in your lane.</t>
        </is>
      </c>
      <c r="H177" s="23" t="inlineStr">
        <is>
          <t>nothing in the profile conflicts with it</t>
        </is>
      </c>
      <c r="I177" s="24" t="inlineStr">
        <is>
          <t>YES</t>
        </is>
      </c>
      <c r="J177" s="23" t="inlineStr">
        <is>
          <t>-</t>
        </is>
      </c>
      <c r="K177" s="23" t="inlineStr">
        <is>
          <t>Sunday evening works great for Brooke—he's free then and loves watching sports with good company over food and drinks. Count him in for the Seahawks game at The Vault.</t>
        </is>
      </c>
      <c r="L177" s="24" t="inlineStr">
        <is>
          <t>Yes</t>
        </is>
      </c>
      <c r="M177" s="25" t="n"/>
      <c r="N177" s="26" t="inlineStr">
        <is>
          <t>#857 ask, #858 call, #884 reply</t>
        </is>
      </c>
    </row>
    <row r="178" ht="42" customHeight="1">
      <c r="A178" s="23" t="inlineStr">
        <is>
          <t>T1 2026-11-01/g2</t>
        </is>
      </c>
      <c r="B178" s="23" t="inlineStr">
        <is>
          <t>T1</t>
        </is>
      </c>
      <c r="C178" s="23" t="inlineStr">
        <is>
          <t>Watch the Seahawks over beers</t>
        </is>
      </c>
      <c r="D178" s="23" t="inlineStr">
        <is>
          <t>e074 Rohan L.</t>
        </is>
      </c>
      <c r="E178" s="24" t="n">
        <v>1</v>
      </c>
      <c r="F178" s="23" t="inlineStr">
        <is>
          <t>5:20pm-8:30pm</t>
        </is>
      </c>
      <c r="G178" s="23" t="inlineStr">
        <is>
          <t>Seahawks at The Vault Taphouse on Sunday, 5:20-8:30pm, with 3 neighbors. It's craft beer and good food over the game, both things you rate highly.</t>
        </is>
      </c>
      <c r="H178" s="23" t="inlineStr">
        <is>
          <t>nothing in the profile conflicts with it</t>
        </is>
      </c>
      <c r="I178" s="24" t="inlineStr">
        <is>
          <t>YES</t>
        </is>
      </c>
      <c r="J178" s="23" t="inlineStr">
        <is>
          <t>-</t>
        </is>
      </c>
      <c r="K178" s="23" t="inlineStr">
        <is>
          <t>Rohan's free Sunday evening and loves craft beer and dining out with good company, so watching the Seahawks at The Vault Taphouse works great. Count him in!</t>
        </is>
      </c>
      <c r="L178" s="24" t="inlineStr">
        <is>
          <t>Yes</t>
        </is>
      </c>
      <c r="M178" s="25" t="n"/>
      <c r="N178" s="26" t="inlineStr">
        <is>
          <t>#862 ask, #863 call, #874 reply</t>
        </is>
      </c>
    </row>
    <row r="179" ht="42" customHeight="1">
      <c r="A179" s="23" t="inlineStr">
        <is>
          <t>T1 2026-11-01/g2</t>
        </is>
      </c>
      <c r="B179" s="23" t="inlineStr">
        <is>
          <t>T1</t>
        </is>
      </c>
      <c r="C179" s="23" t="inlineStr">
        <is>
          <t>Watch the Seahawks over beers</t>
        </is>
      </c>
      <c r="D179" s="23" t="inlineStr">
        <is>
          <t>e189 Karen W.</t>
        </is>
      </c>
      <c r="E179" s="24" t="n">
        <v>1</v>
      </c>
      <c r="F179" s="23" t="inlineStr">
        <is>
          <t>5:20pm-8:30pm</t>
        </is>
      </c>
      <c r="G179" s="23" t="inlineStr">
        <is>
          <t>Sunday 5:20-8:30pm: the Seahawks game over beers at The Vault Taphouse with 3 other neighbors. You're a craft-beer fan, and this is an easy evening out.</t>
        </is>
      </c>
      <c r="H179" s="23" t="inlineStr">
        <is>
          <t>nothing in the profile conflicts with it</t>
        </is>
      </c>
      <c r="I179" s="24" t="inlineStr">
        <is>
          <t>YES</t>
        </is>
      </c>
      <c r="J179" s="23" t="inlineStr">
        <is>
          <t>-</t>
        </is>
      </c>
      <c r="K179" s="23" t="inlineStr">
        <is>
          <t>Karen's free Sunday evening and loves craft beer, so watching the Seahawks over beers at The Vault Taphouse sounds like a great fit. Count her in!</t>
        </is>
      </c>
      <c r="L179" s="24" t="inlineStr">
        <is>
          <t>Yes</t>
        </is>
      </c>
      <c r="M179" s="25" t="n"/>
      <c r="N179" s="26" t="inlineStr">
        <is>
          <t>#867 ask, #868 call, #879 reply</t>
        </is>
      </c>
    </row>
    <row r="180" ht="55" customHeight="1">
      <c r="A180" s="23" t="inlineStr">
        <is>
          <t>T1 2026-11-01/g2</t>
        </is>
      </c>
      <c r="B180" s="23" t="inlineStr">
        <is>
          <t>T1</t>
        </is>
      </c>
      <c r="C180" s="23" t="inlineStr">
        <is>
          <t>Watch the Seahawks over beers</t>
        </is>
      </c>
      <c r="D180" s="23" t="inlineStr">
        <is>
          <t>e085 Cody B.</t>
        </is>
      </c>
      <c r="E180" s="24" t="n">
        <v>1</v>
      </c>
      <c r="F180" s="23" t="inlineStr">
        <is>
          <t>5:20pm-8:30pm</t>
        </is>
      </c>
      <c r="G180" s="23" t="inlineStr">
        <is>
          <t>Watch the Seahawks at The Vault Taphouse on Sunday, 5:20-8:30pm, with 3 neighbors. It's craft beer and good company after your week.</t>
        </is>
      </c>
      <c r="H180" s="23" t="inlineStr">
        <is>
          <t>nothing in the profile conflicts with it</t>
        </is>
      </c>
      <c r="I180" s="24" t="inlineStr">
        <is>
          <t>NO</t>
        </is>
      </c>
      <c r="J180" s="23" t="inlineStr">
        <is>
          <t>-</t>
        </is>
      </c>
      <c r="K180" s="23" t="inlineStr">
        <is>
          <t>Cody loves craft beer but isn't into watching competitive sports events like football - that's not really his scene. He'd rather do something active or social around the beer itself, like a brewery meetup or trivia night.</t>
        </is>
      </c>
      <c r="L180" s="24" t="inlineStr">
        <is>
          <t>No</t>
        </is>
      </c>
      <c r="M180" s="25" t="n"/>
      <c r="N180" s="26" t="inlineStr">
        <is>
          <t>#872 ask, #873 call, #909 reply</t>
        </is>
      </c>
    </row>
    <row r="181" ht="42" customHeight="1">
      <c r="A181" s="23" t="inlineStr">
        <is>
          <t>T1 2026-11-01/g2</t>
        </is>
      </c>
      <c r="B181" s="23" t="inlineStr">
        <is>
          <t>T1</t>
        </is>
      </c>
      <c r="C181" s="23" t="inlineStr">
        <is>
          <t>Watch the Seahawks over beers</t>
        </is>
      </c>
      <c r="D181" s="23" t="inlineStr">
        <is>
          <t>e198 Paige A.</t>
        </is>
      </c>
      <c r="E181" s="24" t="n">
        <v>2</v>
      </c>
      <c r="F181" s="23" t="inlineStr">
        <is>
          <t>5:20pm-8:30pm</t>
        </is>
      </c>
      <c r="G181" s="23" t="inlineStr">
        <is>
          <t>Hi! A spot just opened to watch the Seahawks over beers in Black Diamond today, Sunday 1 Nov, 5:20pm-8:30pm. Three others are already in. Would Paige like to join?</t>
        </is>
      </c>
      <c r="H181" s="23" t="inlineStr">
        <is>
          <t>nothing in the profile conflicts with it</t>
        </is>
      </c>
      <c r="I181" s="24" t="inlineStr">
        <is>
          <t>YES</t>
        </is>
      </c>
      <c r="J181" s="23" t="inlineStr">
        <is>
          <t>-</t>
        </is>
      </c>
      <c r="K181" s="23" t="inlineStr">
        <is>
          <t>Sunday evening works great for Paige, and craft beer with a game on fits right into his interests — count him in!</t>
        </is>
      </c>
      <c r="L181" s="24" t="inlineStr">
        <is>
          <t>Yes</t>
        </is>
      </c>
      <c r="M181" s="25" t="n"/>
      <c r="N181" s="26" t="inlineStr">
        <is>
          <t>#1048 ask, #1049 call, #1056 reply</t>
        </is>
      </c>
    </row>
    <row r="182" ht="42" customHeight="1">
      <c r="A182" s="23" t="inlineStr">
        <is>
          <t>T1 2026-11-01/g3</t>
        </is>
      </c>
      <c r="B182" s="23" t="inlineStr">
        <is>
          <t>T1</t>
        </is>
      </c>
      <c r="C182" s="23" t="inlineStr">
        <is>
          <t>Pickleball doubles</t>
        </is>
      </c>
      <c r="D182" s="23" t="inlineStr">
        <is>
          <t>e019 Olivia R.</t>
        </is>
      </c>
      <c r="E182" s="24" t="n">
        <v>1</v>
      </c>
      <c r="F182" s="23" t="inlineStr">
        <is>
          <t>9:00am-10:30am</t>
        </is>
      </c>
      <c r="G182" s="23" t="inlineStr">
        <is>
          <t>Pickleball doubles at the Maple Valley public courts, Sunday 9-10:30am, with 3 other keen players. That's a full court, so you can rotate partners and meet everyone.</t>
        </is>
      </c>
      <c r="H182" s="23" t="inlineStr">
        <is>
          <t>nothing in the profile conflicts with it</t>
        </is>
      </c>
      <c r="I182" s="24" t="inlineStr">
        <is>
          <t>YES</t>
        </is>
      </c>
      <c r="J182" s="23" t="inlineStr">
        <is>
          <t>-</t>
        </is>
      </c>
      <c r="K182" s="23" t="inlineStr">
        <is>
          <t>Sunday morning works great for Olivia — pickleball is one of her favorite activities, it's free, and the time fits her free morning. Count her in!</t>
        </is>
      </c>
      <c r="L182" s="24" t="inlineStr">
        <is>
          <t>Yes</t>
        </is>
      </c>
      <c r="M182" s="25" t="n"/>
      <c r="N182" s="26" t="inlineStr">
        <is>
          <t>#877 ask, #878 call, #889 reply</t>
        </is>
      </c>
    </row>
    <row r="183" ht="42" customHeight="1">
      <c r="A183" s="23" t="inlineStr">
        <is>
          <t>T1 2026-11-01/g3</t>
        </is>
      </c>
      <c r="B183" s="23" t="inlineStr">
        <is>
          <t>T1</t>
        </is>
      </c>
      <c r="C183" s="23" t="inlineStr">
        <is>
          <t>Pickleball doubles</t>
        </is>
      </c>
      <c r="D183" s="23" t="inlineStr">
        <is>
          <t>e182 Elena H.</t>
        </is>
      </c>
      <c r="E183" s="24" t="n">
        <v>1</v>
      </c>
      <c r="F183" s="23" t="inlineStr">
        <is>
          <t>9:00am-10:30am</t>
        </is>
      </c>
      <c r="G183" s="23" t="inlineStr">
        <is>
          <t>Sunday 9-10:30am: pickleball doubles at the Maple Valley courts with 3 neighbors who love the game as much as you do. It's a friendly, active start to the day.</t>
        </is>
      </c>
      <c r="H183" s="23" t="inlineStr">
        <is>
          <t>nothing in the profile conflicts with it</t>
        </is>
      </c>
      <c r="I183" s="24" t="inlineStr">
        <is>
          <t>YES</t>
        </is>
      </c>
      <c r="J183" s="23" t="inlineStr">
        <is>
          <t>-</t>
        </is>
      </c>
      <c r="K183" s="23" t="inlineStr">
        <is>
          <t>This is a great fit—Elena loves pickleball, Sunday morning is free on her calendar, it's free of cost, and a small neighbor group sounds perfectly low-key. Count her in!</t>
        </is>
      </c>
      <c r="L183" s="24" t="inlineStr">
        <is>
          <t>Yes</t>
        </is>
      </c>
      <c r="M183" s="25" t="n"/>
      <c r="N183" s="26" t="inlineStr">
        <is>
          <t>#882 ask, #883 call, #894 reply</t>
        </is>
      </c>
    </row>
    <row r="184" ht="55" customHeight="1">
      <c r="A184" s="23" t="inlineStr">
        <is>
          <t>T1 2026-11-01/g3</t>
        </is>
      </c>
      <c r="B184" s="23" t="inlineStr">
        <is>
          <t>T1</t>
        </is>
      </c>
      <c r="C184" s="23" t="inlineStr">
        <is>
          <t>Pickleball doubles</t>
        </is>
      </c>
      <c r="D184" s="23" t="inlineStr">
        <is>
          <t>e138 Hana T.</t>
        </is>
      </c>
      <c r="E184" s="24" t="n">
        <v>1</v>
      </c>
      <c r="F184" s="23" t="inlineStr">
        <is>
          <t>9:00am-10:30am</t>
        </is>
      </c>
      <c r="G184" s="23" t="inlineStr">
        <is>
          <t>Doubles pickleball Sunday 9-10:30am at the Maple Valley public courts, with 3 other enthusiastic players. You rate pickleball highly, and this is a full foursome.</t>
        </is>
      </c>
      <c r="H184" s="23" t="inlineStr">
        <is>
          <t>nothing in the profile conflicts with it</t>
        </is>
      </c>
      <c r="I184" s="24" t="inlineStr">
        <is>
          <t>YES</t>
        </is>
      </c>
      <c r="J184" s="23" t="inlineStr">
        <is>
          <t>-</t>
        </is>
      </c>
      <c r="K184" s="23" t="inlineStr">
        <is>
          <t>Sunday morning works great for Hana - she's free then, pickleball is one of her favorite activities, it's free, and a small daytime group fits her preference for low-key, non-loud settings. Count her in!</t>
        </is>
      </c>
      <c r="L184" s="24" t="inlineStr">
        <is>
          <t>Yes</t>
        </is>
      </c>
      <c r="M184" s="25" t="n"/>
      <c r="N184" s="26" t="inlineStr">
        <is>
          <t>#887 ask, #888 call, #899 reply</t>
        </is>
      </c>
    </row>
    <row r="185" ht="42" customHeight="1">
      <c r="A185" s="23" t="inlineStr">
        <is>
          <t>T1 2026-11-01/g3</t>
        </is>
      </c>
      <c r="B185" s="23" t="inlineStr">
        <is>
          <t>T1</t>
        </is>
      </c>
      <c r="C185" s="23" t="inlineStr">
        <is>
          <t>Pickleball doubles</t>
        </is>
      </c>
      <c r="D185" s="23" t="inlineStr">
        <is>
          <t>e078 Kevin N.</t>
        </is>
      </c>
      <c r="E185" s="24" t="n">
        <v>1</v>
      </c>
      <c r="F185" s="23" t="inlineStr">
        <is>
          <t>9:00am-10:30am</t>
        </is>
      </c>
      <c r="G185" s="23" t="inlineStr">
        <is>
          <t>Sunday 9-10:30am, pickleball doubles in Maple Valley with 3 other neighbors. You love the game, and this is a full court of keen players.</t>
        </is>
      </c>
      <c r="H185" s="23" t="inlineStr">
        <is>
          <t>nothing in the profile conflicts with it</t>
        </is>
      </c>
      <c r="I185" s="24" t="inlineStr">
        <is>
          <t>YES</t>
        </is>
      </c>
      <c r="J185" s="23" t="inlineStr">
        <is>
          <t>-</t>
        </is>
      </c>
      <c r="K185" s="23" t="inlineStr">
        <is>
          <t>Sunday 9-10:30am pickleball doubles in Maple Valley works great for Kevin — he's free all morning, loves the sport, and free cost fits his budget. Count him in!</t>
        </is>
      </c>
      <c r="L185" s="24" t="inlineStr">
        <is>
          <t>Yes</t>
        </is>
      </c>
      <c r="M185" s="25" t="n"/>
      <c r="N185" s="26" t="inlineStr">
        <is>
          <t>#892 ask, #893 call, #904 reply</t>
        </is>
      </c>
    </row>
    <row r="186" ht="42" customHeight="1">
      <c r="A186" s="23" t="inlineStr">
        <is>
          <t>T1 2026-11-01/g4</t>
        </is>
      </c>
      <c r="B186" s="23" t="inlineStr">
        <is>
          <t>T1</t>
        </is>
      </c>
      <c r="C186" s="23" t="inlineStr">
        <is>
          <t>Green River Gorge hike</t>
        </is>
      </c>
      <c r="D186" s="23" t="inlineStr">
        <is>
          <t>e046 Dylan B.</t>
        </is>
      </c>
      <c r="E186" s="24" t="n">
        <v>1</v>
      </c>
      <c r="F186" s="23" t="inlineStr">
        <is>
          <t>1:00pm-4:00pm</t>
        </is>
      </c>
      <c r="G186" s="23" t="inlineStr">
        <is>
          <t>Green River Gorge hike, Sunday 1-4pm at the Conservation Area, with 3 neighbors who are also into photography. Bring your camera: the gorge walls in fall light are great.</t>
        </is>
      </c>
      <c r="H186" s="23" t="inlineStr">
        <is>
          <t>nothing in the profile conflicts with it</t>
        </is>
      </c>
      <c r="I186" s="24" t="inlineStr">
        <is>
          <t>YES</t>
        </is>
      </c>
      <c r="J186" s="23" t="inlineStr">
        <is>
          <t>-</t>
        </is>
      </c>
      <c r="K186" s="23" t="inlineStr">
        <is>
          <t>This fits Dylan perfectly—free Sunday afternoon, hiking and photography combined, no cost, and a chance to meet fellow photography enthusiasts. Count him in!</t>
        </is>
      </c>
      <c r="L186" s="24" t="inlineStr">
        <is>
          <t>Yes</t>
        </is>
      </c>
      <c r="M186" s="25" t="n"/>
      <c r="N186" s="26" t="inlineStr">
        <is>
          <t>#897 ask, #898 call, #914 reply</t>
        </is>
      </c>
    </row>
    <row r="187" ht="42" customHeight="1">
      <c r="A187" s="23" t="inlineStr">
        <is>
          <t>T1 2026-11-01/g4</t>
        </is>
      </c>
      <c r="B187" s="23" t="inlineStr">
        <is>
          <t>T1</t>
        </is>
      </c>
      <c r="C187" s="23" t="inlineStr">
        <is>
          <t>Green River Gorge hike</t>
        </is>
      </c>
      <c r="D187" s="23" t="inlineStr">
        <is>
          <t>e104 Susan L.</t>
        </is>
      </c>
      <c r="E187" s="24" t="n">
        <v>1</v>
      </c>
      <c r="F187" s="23" t="inlineStr">
        <is>
          <t>1:00pm-4:00pm</t>
        </is>
      </c>
      <c r="G187" s="23" t="inlineStr">
        <is>
          <t>Sunday 1-4pm: hike the Green River Gorge with 3 other neighbors who love hiking and photography. It's an easy-paced, scenic afternoon out.</t>
        </is>
      </c>
      <c r="H187" s="23" t="inlineStr">
        <is>
          <t>nothing in the profile conflicts with it</t>
        </is>
      </c>
      <c r="I187" s="24" t="inlineStr">
        <is>
          <t>YES</t>
        </is>
      </c>
      <c r="J187" s="23" t="inlineStr">
        <is>
          <t>-</t>
        </is>
      </c>
      <c r="K187" s="23" t="inlineStr">
        <is>
          <t>This is a great fit for Susan—hiking is her top love, photography is a bonus interest, it's free, and Sunday afternoon is open on her calendar. Count her in!</t>
        </is>
      </c>
      <c r="L187" s="24" t="inlineStr">
        <is>
          <t>Yes</t>
        </is>
      </c>
      <c r="M187" s="25" t="n"/>
      <c r="N187" s="26" t="inlineStr">
        <is>
          <t>#902 ask, #903 call, #919 reply</t>
        </is>
      </c>
    </row>
    <row r="188" ht="42" customHeight="1">
      <c r="A188" s="23" t="inlineStr">
        <is>
          <t>T1 2026-11-01/g4</t>
        </is>
      </c>
      <c r="B188" s="23" t="inlineStr">
        <is>
          <t>T1</t>
        </is>
      </c>
      <c r="C188" s="23" t="inlineStr">
        <is>
          <t>Green River Gorge hike</t>
        </is>
      </c>
      <c r="D188" s="23" t="inlineStr">
        <is>
          <t>e016 Paige P.</t>
        </is>
      </c>
      <c r="E188" s="24" t="n">
        <v>1</v>
      </c>
      <c r="F188" s="23" t="inlineStr">
        <is>
          <t>1:00pm-4:00pm</t>
        </is>
      </c>
      <c r="G188" s="23" t="inlineStr">
        <is>
          <t>A relaxed photography hike at Green River Gorge, Sunday 1-4pm, with 3 fellow camera lovers. Photography is your top interest, and the gorge is very photogenic.</t>
        </is>
      </c>
      <c r="H188" s="23" t="inlineStr">
        <is>
          <t>nothing in the profile conflicts with it</t>
        </is>
      </c>
      <c r="I188" s="24" t="inlineStr">
        <is>
          <t>YES</t>
        </is>
      </c>
      <c r="J188" s="23" t="inlineStr">
        <is>
          <t>-</t>
        </is>
      </c>
      <c r="K188" s="23" t="inlineStr">
        <is>
          <t>This fits perfectly — Sunday afternoon is free, photography is Paige's top love, and a relaxed small-group hike (not competitive) with fellow camera enthusiasts sounds great. Count her in!</t>
        </is>
      </c>
      <c r="L188" s="24" t="inlineStr">
        <is>
          <t>Yes</t>
        </is>
      </c>
      <c r="M188" s="25" t="n"/>
      <c r="N188" s="26" t="inlineStr">
        <is>
          <t>#907 ask, #908 call, #929 reply</t>
        </is>
      </c>
    </row>
    <row r="189" ht="42" customHeight="1">
      <c r="A189" s="23" t="inlineStr">
        <is>
          <t>T1 2026-11-01/g4</t>
        </is>
      </c>
      <c r="B189" s="23" t="inlineStr">
        <is>
          <t>T1</t>
        </is>
      </c>
      <c r="C189" s="23" t="inlineStr">
        <is>
          <t>Green River Gorge hike</t>
        </is>
      </c>
      <c r="D189" s="23" t="inlineStr">
        <is>
          <t>e162 Chris A.</t>
        </is>
      </c>
      <c r="E189" s="24" t="n">
        <v>1</v>
      </c>
      <c r="F189" s="23" t="inlineStr">
        <is>
          <t>1:00pm-4:00pm</t>
        </is>
      </c>
      <c r="G189" s="23" t="inlineStr">
        <is>
          <t>Sunday 1-4pm, a hike at Green River Gorge Conservation Area with 3 neighbors who all enjoy photography. It's a great chance to shoot the fall colors together.</t>
        </is>
      </c>
      <c r="H189" s="23" t="inlineStr">
        <is>
          <t>nothing in the profile conflicts with it</t>
        </is>
      </c>
      <c r="I189" s="24" t="inlineStr">
        <is>
          <t>YES</t>
        </is>
      </c>
      <c r="J189" s="23" t="inlineStr">
        <is>
          <t>-</t>
        </is>
      </c>
      <c r="K189" s="23" t="inlineStr">
        <is>
          <t>Sunday afternoon works great for Chris, and a photography-focused hike with neighbors shooting fall colors sounds right up his alley. Count him in!</t>
        </is>
      </c>
      <c r="L189" s="24" t="inlineStr">
        <is>
          <t>Yes</t>
        </is>
      </c>
      <c r="M189" s="25" t="n"/>
      <c r="N189" s="26" t="inlineStr">
        <is>
          <t>#912 ask, #913 call, #924 reply</t>
        </is>
      </c>
    </row>
    <row r="190" ht="42" customHeight="1">
      <c r="A190" s="23" t="inlineStr">
        <is>
          <t>T1 2026-11-01/g5</t>
        </is>
      </c>
      <c r="B190" s="23" t="inlineStr">
        <is>
          <t>T1</t>
        </is>
      </c>
      <c r="C190" s="23" t="inlineStr">
        <is>
          <t>Franklin ghost town hike</t>
        </is>
      </c>
      <c r="D190" s="23" t="inlineStr">
        <is>
          <t>e020 Imani M.</t>
        </is>
      </c>
      <c r="E190" s="24" t="n">
        <v>1</v>
      </c>
      <c r="F190" s="23" t="inlineStr">
        <is>
          <t>1:00pm-3:30pm</t>
        </is>
      </c>
      <c r="G190" s="23" t="inlineStr">
        <is>
          <t>Franklin ghost town hike, Sunday 1-3:30pm, off Green River Gorge Rd, with 3 other neighbors. You love both history and hiking, and this trail has both: old mine ruins and a cemetery.</t>
        </is>
      </c>
      <c r="H190" s="23" t="inlineStr">
        <is>
          <t>nothing in the profile conflicts with it</t>
        </is>
      </c>
      <c r="I190" s="24" t="inlineStr">
        <is>
          <t>YES</t>
        </is>
      </c>
      <c r="J190" s="23" t="inlineStr">
        <is>
          <t>-</t>
        </is>
      </c>
      <c r="K190" s="23" t="inlineStr">
        <is>
          <t>This fits perfectly—Sunday afternoon is free, it's hiking plus history, free cost, small group, and no loud places or long drives involved. Imani's in!</t>
        </is>
      </c>
      <c r="L190" s="24" t="inlineStr">
        <is>
          <t>Yes</t>
        </is>
      </c>
      <c r="M190" s="25" t="n"/>
      <c r="N190" s="26" t="inlineStr">
        <is>
          <t>#917 ask, #918 call, #934 reply</t>
        </is>
      </c>
    </row>
    <row r="191" ht="42" customHeight="1">
      <c r="A191" s="23" t="inlineStr">
        <is>
          <t>T1 2026-11-01/g5</t>
        </is>
      </c>
      <c r="B191" s="23" t="inlineStr">
        <is>
          <t>T1</t>
        </is>
      </c>
      <c r="C191" s="23" t="inlineStr">
        <is>
          <t>Franklin ghost town hike</t>
        </is>
      </c>
      <c r="D191" s="23" t="inlineStr">
        <is>
          <t>e143 Carlos T.</t>
        </is>
      </c>
      <c r="E191" s="24" t="n">
        <v>1</v>
      </c>
      <c r="F191" s="23" t="inlineStr">
        <is>
          <t>1:00pm-3:30pm</t>
        </is>
      </c>
      <c r="G191" s="23" t="inlineStr">
        <is>
          <t>Sunday 1-3:30pm: explore the Franklin ghost town trail with 3 neighbors. It's history and hiking in one outing, two of your favorites.</t>
        </is>
      </c>
      <c r="H191" s="23" t="inlineStr">
        <is>
          <t>nothing in the profile conflicts with it</t>
        </is>
      </c>
      <c r="I191" s="24" t="inlineStr">
        <is>
          <t>YES</t>
        </is>
      </c>
      <c r="J191" s="23" t="inlineStr">
        <is>
          <t>-</t>
        </is>
      </c>
      <c r="K191" s="23" t="inlineStr">
        <is>
          <t>Sunday afternoon works great for Carlos — a ghost town hike combines his love of history and hiking, free cost fits his budget, and it's not an early start. Count him in!</t>
        </is>
      </c>
      <c r="L191" s="24" t="inlineStr">
        <is>
          <t>Yes</t>
        </is>
      </c>
      <c r="M191" s="25" t="n"/>
      <c r="N191" s="26" t="inlineStr">
        <is>
          <t>#922 ask, #923 call, #939 reply</t>
        </is>
      </c>
    </row>
    <row r="192" ht="42" customHeight="1">
      <c r="A192" s="23" t="inlineStr">
        <is>
          <t>T1 2026-11-01/g5</t>
        </is>
      </c>
      <c r="B192" s="23" t="inlineStr">
        <is>
          <t>T1</t>
        </is>
      </c>
      <c r="C192" s="23" t="inlineStr">
        <is>
          <t>Franklin ghost town hike</t>
        </is>
      </c>
      <c r="D192" s="23" t="inlineStr">
        <is>
          <t>e014 Paolo P.</t>
        </is>
      </c>
      <c r="E192" s="24" t="n">
        <v>1</v>
      </c>
      <c r="F192" s="23" t="inlineStr">
        <is>
          <t>1:00pm-3:30pm</t>
        </is>
      </c>
      <c r="G192" s="23" t="inlineStr">
        <is>
          <t>A history walk through the Franklin ghost town on Sunday, 1-3:30pm, with 3 neighbors. History is your top interest, and this is local coal-mining history up close.</t>
        </is>
      </c>
      <c r="H192" s="23" t="inlineStr">
        <is>
          <t>nothing in the profile conflicts with it</t>
        </is>
      </c>
      <c r="I192" s="24" t="inlineStr">
        <is>
          <t>YES</t>
        </is>
      </c>
      <c r="J192" s="23" t="inlineStr">
        <is>
          <t>-</t>
        </is>
      </c>
      <c r="K192" s="23" t="inlineStr">
        <is>
          <t>This is a great fit — Paolo loves history, it's free, and Sunday afternoon is open on his calendar. He's happy to join the neighbors for the ghost town hike.</t>
        </is>
      </c>
      <c r="L192" s="24" t="inlineStr">
        <is>
          <t>Yes</t>
        </is>
      </c>
      <c r="M192" s="25" t="n"/>
      <c r="N192" s="26" t="inlineStr">
        <is>
          <t>#927 ask, #928 call, #944 reply</t>
        </is>
      </c>
    </row>
    <row r="193" ht="42" customHeight="1">
      <c r="A193" s="23" t="inlineStr">
        <is>
          <t>T1 2026-11-01/g5</t>
        </is>
      </c>
      <c r="B193" s="23" t="inlineStr">
        <is>
          <t>T1</t>
        </is>
      </c>
      <c r="C193" s="23" t="inlineStr">
        <is>
          <t>Franklin ghost town hike</t>
        </is>
      </c>
      <c r="D193" s="23" t="inlineStr">
        <is>
          <t>e184 Mateo R.</t>
        </is>
      </c>
      <c r="E193" s="24" t="n">
        <v>1</v>
      </c>
      <c r="F193" s="23" t="inlineStr">
        <is>
          <t>1:00pm-3:30pm</t>
        </is>
      </c>
      <c r="G193" s="23" t="inlineStr">
        <is>
          <t>Sunday 1-3:30pm, hike the Franklin ghost town trail with 3 other neighbors. It's a moderate hike with some fun local history along the way.</t>
        </is>
      </c>
      <c r="H193" s="23" t="inlineStr">
        <is>
          <t>nothing in the profile conflicts with it</t>
        </is>
      </c>
      <c r="I193" s="24" t="inlineStr">
        <is>
          <t>YES</t>
        </is>
      </c>
      <c r="J193" s="23" t="inlineStr">
        <is>
          <t>-</t>
        </is>
      </c>
      <c r="K193" s="23" t="inlineStr">
        <is>
          <t>Mateo's free Sunday afternoon and this checks every box: hiking plus a bit of history, free cost, no conflicts. Count him in for the Franklin ghost town hike.</t>
        </is>
      </c>
      <c r="L193" s="24" t="inlineStr">
        <is>
          <t>Yes</t>
        </is>
      </c>
      <c r="M193" s="25" t="n"/>
      <c r="N193" s="26" t="inlineStr">
        <is>
          <t>#932 ask, #933 call, #954 reply</t>
        </is>
      </c>
    </row>
    <row r="194" ht="42" customHeight="1">
      <c r="A194" s="23" t="inlineStr">
        <is>
          <t>T1 2026-11-01/g6</t>
        </is>
      </c>
      <c r="B194" s="23" t="inlineStr">
        <is>
          <t>T1</t>
        </is>
      </c>
      <c r="C194" s="23" t="inlineStr">
        <is>
          <t>Short hike and picnic at Flaming Geyser</t>
        </is>
      </c>
      <c r="D194" s="23" t="inlineStr">
        <is>
          <t>e124 Wei T.</t>
        </is>
      </c>
      <c r="E194" s="24" t="n">
        <v>1</v>
      </c>
      <c r="F194" s="23" t="inlineStr">
        <is>
          <t>12:30pm-3:00pm</t>
        </is>
      </c>
      <c r="G194" s="23" t="inlineStr">
        <is>
          <t>Short hike and picnic at Flaming Geyser State Park, Sunday 12:30-3pm, with 3 neighbors. Picnics are one of your favorite things, and the hike is easy and family-friendly.</t>
        </is>
      </c>
      <c r="H194" s="23" t="inlineStr">
        <is>
          <t>nothing in the profile conflicts with it</t>
        </is>
      </c>
      <c r="I194" s="24" t="inlineStr">
        <is>
          <t>YES</t>
        </is>
      </c>
      <c r="J194" s="23" t="inlineStr">
        <is>
          <t>-</t>
        </is>
      </c>
      <c r="K194" s="23" t="inlineStr">
        <is>
          <t>This looks great - Wei loves hiking and picnics, it's free, Sunday afternoon is open, and a small group of neighbors keeps it low-key rather than crowded. Count Wei in!</t>
        </is>
      </c>
      <c r="L194" s="24" t="inlineStr">
        <is>
          <t>Yes</t>
        </is>
      </c>
      <c r="M194" s="25" t="n"/>
      <c r="N194" s="26" t="inlineStr">
        <is>
          <t>#937 ask, #938 call, #959 reply</t>
        </is>
      </c>
    </row>
    <row r="195" ht="42" customHeight="1">
      <c r="A195" s="23" t="inlineStr">
        <is>
          <t>T1 2026-11-01/g6</t>
        </is>
      </c>
      <c r="B195" s="23" t="inlineStr">
        <is>
          <t>T1</t>
        </is>
      </c>
      <c r="C195" s="23" t="inlineStr">
        <is>
          <t>Short hike and picnic at Flaming Geyser</t>
        </is>
      </c>
      <c r="D195" s="23" t="inlineStr">
        <is>
          <t>e039 Liam A.</t>
        </is>
      </c>
      <c r="E195" s="24" t="n">
        <v>1</v>
      </c>
      <c r="F195" s="23" t="inlineStr">
        <is>
          <t>12:30pm-3:00pm</t>
        </is>
      </c>
      <c r="G195" s="23" t="inlineStr">
        <is>
          <t>Sunday 12:30-3pm: an easy short walk and a picnic at Flaming Geyser State Park with 3 neighbors. You love a good picnic, and this one is relaxed.</t>
        </is>
      </c>
      <c r="H195" s="23" t="inlineStr">
        <is>
          <t>nothing in the profile conflicts with it</t>
        </is>
      </c>
      <c r="I195" s="24" t="inlineStr">
        <is>
          <t>YES</t>
        </is>
      </c>
      <c r="J195" s="23" t="inlineStr">
        <is>
          <t>-</t>
        </is>
      </c>
      <c r="K195" s="23" t="inlineStr">
        <is>
          <t>Sunday afternoon works great for Liam — he's free then and loves picnics, so a relaxed short walk and picnic with neighbors at Flaming Geyser State Park sounds lovely. Count him in!</t>
        </is>
      </c>
      <c r="L195" s="24" t="inlineStr">
        <is>
          <t>Yes</t>
        </is>
      </c>
      <c r="M195" s="25" t="n"/>
      <c r="N195" s="26" t="inlineStr">
        <is>
          <t>#942 ask, #943 call, #949 reply</t>
        </is>
      </c>
    </row>
    <row r="196" ht="55" customHeight="1">
      <c r="A196" s="23" t="inlineStr">
        <is>
          <t>T1 2026-11-01/g6</t>
        </is>
      </c>
      <c r="B196" s="23" t="inlineStr">
        <is>
          <t>T1</t>
        </is>
      </c>
      <c r="C196" s="23" t="inlineStr">
        <is>
          <t>Short hike and picnic at Flaming Geyser</t>
        </is>
      </c>
      <c r="D196" s="23" t="inlineStr">
        <is>
          <t>e025 Isabel R.</t>
        </is>
      </c>
      <c r="E196" s="24" t="n">
        <v>1</v>
      </c>
      <c r="F196" s="23" t="inlineStr">
        <is>
          <t>12:30pm-3:00pm</t>
        </is>
      </c>
      <c r="G196" s="23" t="inlineStr">
        <is>
          <t>A gentle hike and picnic at Flaming Geyser, Sunday 12:30-3pm, with 3 other neighbors. Picnics are a favorite of yours, and the pace will be leisurely.</t>
        </is>
      </c>
      <c r="H196" s="23" t="inlineStr">
        <is>
          <t>nothing in the profile conflicts with it</t>
        </is>
      </c>
      <c r="I196" s="24" t="inlineStr">
        <is>
          <t>YES</t>
        </is>
      </c>
      <c r="J196" s="23" t="inlineStr">
        <is>
          <t>-</t>
        </is>
      </c>
      <c r="K196" s="23" t="inlineStr">
        <is>
          <t>Isabel's free Sunday afternoon and a leisurely picnic/hike with neighbors sounds lovely—picnics are a favorite of hers, and a small, calm group fits her preference for avoiding loud places. Count her in!</t>
        </is>
      </c>
      <c r="L196" s="24" t="inlineStr">
        <is>
          <t>Yes</t>
        </is>
      </c>
      <c r="M196" s="25" t="n"/>
      <c r="N196" s="26" t="inlineStr">
        <is>
          <t>#947 ask, #948 call, #969 reply</t>
        </is>
      </c>
    </row>
    <row r="197" ht="42" customHeight="1">
      <c r="A197" s="23" t="inlineStr">
        <is>
          <t>T1 2026-11-01/g6</t>
        </is>
      </c>
      <c r="B197" s="23" t="inlineStr">
        <is>
          <t>T1</t>
        </is>
      </c>
      <c r="C197" s="23" t="inlineStr">
        <is>
          <t>Short hike and picnic at Flaming Geyser</t>
        </is>
      </c>
      <c r="D197" s="23" t="inlineStr">
        <is>
          <t>e129 Jessica H.</t>
        </is>
      </c>
      <c r="E197" s="24" t="n">
        <v>1</v>
      </c>
      <c r="F197" s="23" t="inlineStr">
        <is>
          <t>12:30pm-3:00pm</t>
        </is>
      </c>
      <c r="G197" s="23" t="inlineStr">
        <is>
          <t>Sunday 12:30-3pm, a short hike plus picnic at Flaming Geyser State Park with 3 neighbors. You love hiking, and this pairs it with good food outdoors.</t>
        </is>
      </c>
      <c r="H197" s="23" t="inlineStr">
        <is>
          <t>nothing in the profile conflicts with it</t>
        </is>
      </c>
      <c r="I197" s="24" t="inlineStr">
        <is>
          <t>YES</t>
        </is>
      </c>
      <c r="J197" s="23" t="inlineStr">
        <is>
          <t>-</t>
        </is>
      </c>
      <c r="K197" s="23" t="inlineStr">
        <is>
          <t>Sunday afternoon works great for Jessica - she's free then, and hiking plus a picnic with neighbors fits her love of hiking and dining perfectly. She's in!</t>
        </is>
      </c>
      <c r="L197" s="24" t="inlineStr">
        <is>
          <t>Yes</t>
        </is>
      </c>
      <c r="M197" s="25" t="n"/>
      <c r="N197" s="26" t="inlineStr">
        <is>
          <t>#952 ask, #953 call, #964 reply</t>
        </is>
      </c>
    </row>
    <row r="198" ht="42" customHeight="1">
      <c r="A198" s="23" t="inlineStr">
        <is>
          <t>T1 2026-11-01/g7</t>
        </is>
      </c>
      <c r="B198" s="23" t="inlineStr">
        <is>
          <t>T1</t>
        </is>
      </c>
      <c r="C198" s="23" t="inlineStr">
        <is>
          <t>Evening walk on the Ten Trails paths</t>
        </is>
      </c>
      <c r="D198" s="23" t="inlineStr">
        <is>
          <t>e082 Isabel G.</t>
        </is>
      </c>
      <c r="E198" s="24" t="n">
        <v>1</v>
      </c>
      <c r="F198" s="23" t="inlineStr">
        <is>
          <t>5:30pm-7:00pm</t>
        </is>
      </c>
      <c r="G198" s="23" t="inlineStr">
        <is>
          <t>An evening walk on the Ten Trails paths, Sunday 5:30-7pm, with 3 other neighbors in their twenties. It's an easy way to unwind outdoors with people your age.</t>
        </is>
      </c>
      <c r="H198" s="23" t="inlineStr">
        <is>
          <t>nothing in the profile conflicts with it</t>
        </is>
      </c>
      <c r="I198" s="24" t="inlineStr">
        <is>
          <t>YES</t>
        </is>
      </c>
      <c r="J198" s="23" t="inlineStr">
        <is>
          <t>-</t>
        </is>
      </c>
      <c r="K198" s="23" t="inlineStr">
        <is>
          <t>Sunday evening works great for Isabel - she's free then, it's a free outdoor walk, and a small group of neighbors fits her vibe without being a crowded or competitive scene. Count her in!</t>
        </is>
      </c>
      <c r="L198" s="24" t="inlineStr">
        <is>
          <t>Yes</t>
        </is>
      </c>
      <c r="M198" s="25" t="n"/>
      <c r="N198" s="26" t="inlineStr">
        <is>
          <t>#957 ask, #958 call, #974 reply</t>
        </is>
      </c>
    </row>
    <row r="199" ht="42" customHeight="1">
      <c r="A199" s="23" t="inlineStr">
        <is>
          <t>T1 2026-11-01/g7</t>
        </is>
      </c>
      <c r="B199" s="23" t="inlineStr">
        <is>
          <t>T1</t>
        </is>
      </c>
      <c r="C199" s="23" t="inlineStr">
        <is>
          <t>Evening walk on the Ten Trails paths</t>
        </is>
      </c>
      <c r="D199" s="23" t="inlineStr">
        <is>
          <t>e170 Kavya T.</t>
        </is>
      </c>
      <c r="E199" s="24" t="n">
        <v>1</v>
      </c>
      <c r="F199" s="23" t="inlineStr">
        <is>
          <t>5:30pm-7:00pm</t>
        </is>
      </c>
      <c r="G199" s="23" t="inlineStr">
        <is>
          <t>Sunday 5:30-7pm: an evening walk around the Ten Trails network with 3 neighbors around your age. You're active and social, so this should suit you.</t>
        </is>
      </c>
      <c r="H199" s="23" t="inlineStr">
        <is>
          <t>nothing in the profile conflicts with it</t>
        </is>
      </c>
      <c r="I199" s="24" t="inlineStr">
        <is>
          <t>YES</t>
        </is>
      </c>
      <c r="J199" s="23" t="inlineStr">
        <is>
          <t>-</t>
        </is>
      </c>
      <c r="K199" s="23" t="inlineStr">
        <is>
          <t>Sunday evening works great for Kavya — she's free then, loves being active, and a free walk with neighbors fits her vibe perfectly. Count her in!</t>
        </is>
      </c>
      <c r="L199" s="24" t="inlineStr">
        <is>
          <t>Yes</t>
        </is>
      </c>
      <c r="M199" s="25" t="n"/>
      <c r="N199" s="26" t="inlineStr">
        <is>
          <t>#962 ask, #963 call, #979 reply</t>
        </is>
      </c>
    </row>
    <row r="200" ht="29" customHeight="1">
      <c r="A200" s="23" t="inlineStr">
        <is>
          <t>T1 2026-11-01/g7</t>
        </is>
      </c>
      <c r="B200" s="23" t="inlineStr">
        <is>
          <t>T1</t>
        </is>
      </c>
      <c r="C200" s="23" t="inlineStr">
        <is>
          <t>Evening walk on the Ten Trails paths</t>
        </is>
      </c>
      <c r="D200" s="23" t="inlineStr">
        <is>
          <t>e011 Claire P.</t>
        </is>
      </c>
      <c r="E200" s="24" t="n">
        <v>1</v>
      </c>
      <c r="F200" s="23" t="inlineStr">
        <is>
          <t>5:30pm-7:00pm</t>
        </is>
      </c>
      <c r="G200" s="23" t="inlineStr">
        <is>
          <t>A relaxed evening walk on the Ten Trails paths, Sunday 5:30-7pm, with 3 other young neighbors. Keep an eye out for birds at dusk.</t>
        </is>
      </c>
      <c r="H200" s="23" t="inlineStr">
        <is>
          <t>nothing in the profile conflicts with it</t>
        </is>
      </c>
      <c r="I200" s="24" t="inlineStr">
        <is>
          <t>YES</t>
        </is>
      </c>
      <c r="J200" s="23" t="inlineStr">
        <is>
          <t>-</t>
        </is>
      </c>
      <c r="K200" s="23" t="inlineStr">
        <is>
          <t>Claire's free Sunday evening and loves a dusk walk with a chance for birding - this sounds great, count her in!</t>
        </is>
      </c>
      <c r="L200" s="24" t="inlineStr">
        <is>
          <t>Yes</t>
        </is>
      </c>
      <c r="M200" s="25" t="n"/>
      <c r="N200" s="26" t="inlineStr">
        <is>
          <t>#967 ask, #968 call, #984 reply</t>
        </is>
      </c>
    </row>
    <row r="201" ht="42" customHeight="1">
      <c r="A201" s="23" t="inlineStr">
        <is>
          <t>T1 2026-11-01/g7</t>
        </is>
      </c>
      <c r="B201" s="23" t="inlineStr">
        <is>
          <t>T1</t>
        </is>
      </c>
      <c r="C201" s="23" t="inlineStr">
        <is>
          <t>Evening walk on the Ten Trails paths</t>
        </is>
      </c>
      <c r="D201" s="23" t="inlineStr">
        <is>
          <t>e008 Andres G.</t>
        </is>
      </c>
      <c r="E201" s="24" t="n">
        <v>1</v>
      </c>
      <c r="F201" s="23" t="inlineStr">
        <is>
          <t>5:30pm-7:00pm</t>
        </is>
      </c>
      <c r="G201" s="23" t="inlineStr">
        <is>
          <t>Sunday 5:30-7pm, an evening walk on the Ten Trails paths with 3 neighbors in their twenties. You love hiking, and this is a chill way to meet locals.</t>
        </is>
      </c>
      <c r="H201" s="23" t="inlineStr">
        <is>
          <t>nothing in the profile conflicts with it</t>
        </is>
      </c>
      <c r="I201" s="24" t="inlineStr">
        <is>
          <t>YES</t>
        </is>
      </c>
      <c r="J201" s="23" t="inlineStr">
        <is>
          <t>-</t>
        </is>
      </c>
      <c r="K201" s="23" t="inlineStr">
        <is>
          <t>Sunday evening works great for Andres - he's free then, loves hiking, it's free, and a chill group walk with neighbors sounds like a good fit. Let's book it!</t>
        </is>
      </c>
      <c r="L201" s="24" t="inlineStr">
        <is>
          <t>Yes</t>
        </is>
      </c>
      <c r="M201" s="25" t="n"/>
      <c r="N201" s="26" t="inlineStr">
        <is>
          <t>#972 ask, #973 call, #989 reply</t>
        </is>
      </c>
    </row>
    <row r="202" ht="29" customHeight="1">
      <c r="A202" s="23" t="inlineStr">
        <is>
          <t>T1 2026-11-01/g8</t>
        </is>
      </c>
      <c r="B202" s="23" t="inlineStr">
        <is>
          <t>T1</t>
        </is>
      </c>
      <c r="C202" s="23" t="inlineStr">
        <is>
          <t>Pints at Lumber House</t>
        </is>
      </c>
      <c r="D202" s="23" t="inlineStr">
        <is>
          <t>e031 Imani B.</t>
        </is>
      </c>
      <c r="E202" s="24" t="n">
        <v>1</v>
      </c>
      <c r="F202" s="23" t="inlineStr">
        <is>
          <t>2:00pm-4:00pm</t>
        </is>
      </c>
      <c r="G202" s="23" t="inlineStr">
        <is>
          <t>Pints at Lumber House brewery, Sunday 2-4pm, with 3 neighbors who love craft beer as much as you do. Several of them are also hikers.</t>
        </is>
      </c>
      <c r="H202" s="23" t="inlineStr">
        <is>
          <t>nothing in the profile conflicts with it</t>
        </is>
      </c>
      <c r="I202" s="24" t="inlineStr">
        <is>
          <t>YES</t>
        </is>
      </c>
      <c r="J202" s="23" t="inlineStr">
        <is>
          <t>-</t>
        </is>
      </c>
      <c r="K202" s="23" t="inlineStr">
        <is>
          <t>Craft beer with fellow hikers on Sunday afternoon is right up Imani's alley — she's free then and it's low-cost. Count her in!</t>
        </is>
      </c>
      <c r="L202" s="24" t="inlineStr">
        <is>
          <t>Yes</t>
        </is>
      </c>
      <c r="M202" s="25" t="n"/>
      <c r="N202" s="26" t="inlineStr">
        <is>
          <t>#977 ask, #978 call, #999 reply</t>
        </is>
      </c>
    </row>
    <row r="203" ht="29" customHeight="1">
      <c r="A203" s="23" t="inlineStr">
        <is>
          <t>T1 2026-11-01/g8</t>
        </is>
      </c>
      <c r="B203" s="23" t="inlineStr">
        <is>
          <t>T1</t>
        </is>
      </c>
      <c r="C203" s="23" t="inlineStr">
        <is>
          <t>Pints at Lumber House</t>
        </is>
      </c>
      <c r="D203" s="23" t="inlineStr">
        <is>
          <t>e023 Claire F.</t>
        </is>
      </c>
      <c r="E203" s="24" t="n">
        <v>1</v>
      </c>
      <c r="F203" s="23" t="inlineStr">
        <is>
          <t>2:00pm-4:00pm</t>
        </is>
      </c>
      <c r="G203" s="23" t="inlineStr">
        <is>
          <t>Sunday 2-4pm: pints at Lumber House brewery with 3 other craft-beer fans. You'll likely find fellow kayakers and outdoorsy folks in the group.</t>
        </is>
      </c>
      <c r="H203" s="23" t="inlineStr">
        <is>
          <t>nothing in the profile conflicts with it</t>
        </is>
      </c>
      <c r="I203" s="24" t="inlineStr">
        <is>
          <t>YES</t>
        </is>
      </c>
      <c r="J203" s="23" t="inlineStr">
        <is>
          <t>-</t>
        </is>
      </c>
      <c r="K203" s="23" t="inlineStr">
        <is>
          <t>Sunday afternoon works great, and craft beer with outdoorsy folks sounds right up Claire's alley. Let's confirm it.</t>
        </is>
      </c>
      <c r="L203" s="24" t="inlineStr">
        <is>
          <t>Yes</t>
        </is>
      </c>
      <c r="M203" s="25" t="n"/>
      <c r="N203" s="26" t="inlineStr">
        <is>
          <t>#982 ask, #983 call, #994 reply</t>
        </is>
      </c>
    </row>
    <row r="204" ht="42" customHeight="1">
      <c r="A204" s="23" t="inlineStr">
        <is>
          <t>T1 2026-11-01/g8</t>
        </is>
      </c>
      <c r="B204" s="23" t="inlineStr">
        <is>
          <t>T1</t>
        </is>
      </c>
      <c r="C204" s="23" t="inlineStr">
        <is>
          <t>Pints at Lumber House</t>
        </is>
      </c>
      <c r="D204" s="23" t="inlineStr">
        <is>
          <t>e064 Noah M.</t>
        </is>
      </c>
      <c r="E204" s="24" t="n">
        <v>1</v>
      </c>
      <c r="F204" s="23" t="inlineStr">
        <is>
          <t>2:00pm-4:00pm</t>
        </is>
      </c>
      <c r="G204" s="23" t="inlineStr">
        <is>
          <t>Craft beer at Lumber House, Sunday 2-4pm, with 3 neighbors. Craft beer is a favorite of yours, and the group is full of runners and outdoor types.</t>
        </is>
      </c>
      <c r="H204" s="23" t="inlineStr">
        <is>
          <t>nothing in the profile conflicts with it</t>
        </is>
      </c>
      <c r="I204" s="24" t="inlineStr">
        <is>
          <t>YES</t>
        </is>
      </c>
      <c r="J204" s="23" t="inlineStr">
        <is>
          <t>-</t>
        </is>
      </c>
      <c r="K204" s="23" t="inlineStr">
        <is>
          <t>Craft beer with fellow outdoor enthusiasts on Sunday afternoon sounds great—Noah's free then and this is right up his alley. Let's book it.</t>
        </is>
      </c>
      <c r="L204" s="24" t="inlineStr">
        <is>
          <t>Yes</t>
        </is>
      </c>
      <c r="M204" s="25" t="n"/>
      <c r="N204" s="26" t="inlineStr">
        <is>
          <t>#987 ask, #988 call, #1004 reply</t>
        </is>
      </c>
    </row>
    <row r="205" ht="42" customHeight="1">
      <c r="A205" s="23" t="inlineStr">
        <is>
          <t>T1 2026-11-01/g8</t>
        </is>
      </c>
      <c r="B205" s="23" t="inlineStr">
        <is>
          <t>T1</t>
        </is>
      </c>
      <c r="C205" s="23" t="inlineStr">
        <is>
          <t>Pints at Lumber House</t>
        </is>
      </c>
      <c r="D205" s="23" t="inlineStr">
        <is>
          <t>e157 Kevin B.</t>
        </is>
      </c>
      <c r="E205" s="24" t="n">
        <v>1</v>
      </c>
      <c r="F205" s="23" t="inlineStr">
        <is>
          <t>2:00pm-4:00pm</t>
        </is>
      </c>
      <c r="G205" s="23" t="inlineStr">
        <is>
          <t>Sunday 2-4pm, pints at Lumber House brewery with 3 other craft-beer lovers. It's a relaxed afternoon, and fellow runners are in the group.</t>
        </is>
      </c>
      <c r="H205" s="23" t="inlineStr">
        <is>
          <t>nothing in the profile conflicts with it</t>
        </is>
      </c>
      <c r="I205" s="24" t="inlineStr">
        <is>
          <t>NO</t>
        </is>
      </c>
      <c r="J205" s="23" t="inlineStr">
        <is>
          <t>-</t>
        </is>
      </c>
      <c r="K205" s="23" t="inlineStr">
        <is>
          <t>Kevin's free Sunday afternoon, but a small group at a brewery still means a crowd setting he'd rather avoid - he's not keen on this one, thanks though.</t>
        </is>
      </c>
      <c r="L205" s="24" t="inlineStr">
        <is>
          <t>No</t>
        </is>
      </c>
      <c r="M205" s="25" t="n"/>
      <c r="N205" s="26" t="inlineStr">
        <is>
          <t>#992 ask, #993 call, #1009 reply</t>
        </is>
      </c>
    </row>
    <row r="206" ht="42" customHeight="1">
      <c r="A206" s="23" t="inlineStr">
        <is>
          <t>T1 2026-11-01/g8</t>
        </is>
      </c>
      <c r="B206" s="23" t="inlineStr">
        <is>
          <t>T1</t>
        </is>
      </c>
      <c r="C206" s="23" t="inlineStr">
        <is>
          <t>Pints at Lumber House</t>
        </is>
      </c>
      <c r="D206" s="23" t="inlineStr">
        <is>
          <t>e139 Hannah A.</t>
        </is>
      </c>
      <c r="E206" s="24" t="n">
        <v>2</v>
      </c>
      <c r="F206" s="23" t="inlineStr">
        <is>
          <t>2:00pm-4:00pm</t>
        </is>
      </c>
      <c r="G206" s="23" t="inlineStr">
        <is>
          <t>Hi! A spot just opened for pints at Lumber House in Black Diamond today, Sunday 1 Nov, 2:00pm-4:00pm. Three others are already in. Would Hannah like to join?</t>
        </is>
      </c>
      <c r="H206" s="23" t="inlineStr">
        <is>
          <t>nothing in the profile conflicts with it</t>
        </is>
      </c>
      <c r="I206" s="24" t="inlineStr">
        <is>
          <t>YES</t>
        </is>
      </c>
      <c r="J206" s="23" t="inlineStr">
        <is>
          <t>-</t>
        </is>
      </c>
      <c r="K206" s="23" t="inlineStr">
        <is>
          <t>Hannah's free Sunday afternoon and loves craft beer with a casual neighbor group — pints at Lumber House from 2-4pm sounds great, count her in!</t>
        </is>
      </c>
      <c r="L206" s="24" t="inlineStr">
        <is>
          <t>Yes</t>
        </is>
      </c>
      <c r="M206" s="25" t="n"/>
      <c r="N206" s="26" t="inlineStr">
        <is>
          <t>#1050 ask, #1051 call, #1052 reply</t>
        </is>
      </c>
    </row>
    <row r="207" ht="42" customHeight="1">
      <c r="A207" s="23" t="inlineStr">
        <is>
          <t>T1 2026-11-01/g9</t>
        </is>
      </c>
      <c r="B207" s="23" t="inlineStr">
        <is>
          <t>T1</t>
        </is>
      </c>
      <c r="C207" s="23" t="inlineStr">
        <is>
          <t>Black Diamond Museum visit</t>
        </is>
      </c>
      <c r="D207" s="23" t="inlineStr">
        <is>
          <t>e055 Ryan M.</t>
        </is>
      </c>
      <c r="E207" s="24" t="n">
        <v>1</v>
      </c>
      <c r="F207" s="23" t="inlineStr">
        <is>
          <t>10:00am-11:30am</t>
        </is>
      </c>
      <c r="G207" s="23" t="inlineStr">
        <is>
          <t>Black Diamond Museum visit on Railroad Ave, Sunday 10-11:30am, with 3 other neighbors who love history. Entry is free.</t>
        </is>
      </c>
      <c r="H207" s="23" t="inlineStr">
        <is>
          <t>nothing in the profile conflicts with it</t>
        </is>
      </c>
      <c r="I207" s="24" t="inlineStr">
        <is>
          <t>YES</t>
        </is>
      </c>
      <c r="J207" s="23" t="inlineStr">
        <is>
          <t>-</t>
        </is>
      </c>
      <c r="K207" s="23" t="inlineStr">
        <is>
          <t>This is a great fit for Ryan — he loves history, it's free, and Sunday morning is open on his calendar. Please confirm him for the museum visit.</t>
        </is>
      </c>
      <c r="L207" s="24" t="inlineStr">
        <is>
          <t>Yes</t>
        </is>
      </c>
      <c r="M207" s="25" t="n"/>
      <c r="N207" s="26" t="inlineStr">
        <is>
          <t>#997 ask, #998 call, #1014 reply</t>
        </is>
      </c>
    </row>
    <row r="208" ht="42" customHeight="1">
      <c r="A208" s="23" t="inlineStr">
        <is>
          <t>T1 2026-11-01/g9</t>
        </is>
      </c>
      <c r="B208" s="23" t="inlineStr">
        <is>
          <t>T1</t>
        </is>
      </c>
      <c r="C208" s="23" t="inlineStr">
        <is>
          <t>Black Diamond Museum visit</t>
        </is>
      </c>
      <c r="D208" s="23" t="inlineStr">
        <is>
          <t>e073 Greg W.</t>
        </is>
      </c>
      <c r="E208" s="24" t="n">
        <v>1</v>
      </c>
      <c r="F208" s="23" t="inlineStr">
        <is>
          <t>10:00am-11:30am</t>
        </is>
      </c>
      <c r="G208" s="23" t="inlineStr">
        <is>
          <t>Sunday 10-11:30am: a visit to the Black Diamond Historical Society &amp; Museum with 3 fellow history buffs. It's free, and there will be plenty to talk about.</t>
        </is>
      </c>
      <c r="H208" s="23" t="inlineStr">
        <is>
          <t>nothing in the profile conflicts with it</t>
        </is>
      </c>
      <c r="I208" s="24" t="inlineStr">
        <is>
          <t>YES</t>
        </is>
      </c>
      <c r="J208" s="23" t="inlineStr">
        <is>
          <t>-</t>
        </is>
      </c>
      <c r="K208" s="23" t="inlineStr">
        <is>
          <t>Greg's free Sunday morning, loves history, and this museum visit is free with a small group — sounds like a great fit. He's in.</t>
        </is>
      </c>
      <c r="L208" s="24" t="inlineStr">
        <is>
          <t>Yes</t>
        </is>
      </c>
      <c r="M208" s="25" t="n"/>
      <c r="N208" s="26" t="inlineStr">
        <is>
          <t>#1002 ask, #1003 call, #1019 reply</t>
        </is>
      </c>
    </row>
    <row r="209" ht="42" customHeight="1">
      <c r="A209" s="23" t="inlineStr">
        <is>
          <t>T1 2026-11-01/g9</t>
        </is>
      </c>
      <c r="B209" s="23" t="inlineStr">
        <is>
          <t>T1</t>
        </is>
      </c>
      <c r="C209" s="23" t="inlineStr">
        <is>
          <t>Black Diamond Museum visit</t>
        </is>
      </c>
      <c r="D209" s="23" t="inlineStr">
        <is>
          <t>e116 Claire L.</t>
        </is>
      </c>
      <c r="E209" s="24" t="n">
        <v>1</v>
      </c>
      <c r="F209" s="23" t="inlineStr">
        <is>
          <t>10:00am-11:30am</t>
        </is>
      </c>
      <c r="G209" s="23" t="inlineStr">
        <is>
          <t>Tour the Black Diamond Museum on Sunday, 10-11:30am, with 3 neighbors who share your love of history. It's free and easygoing.</t>
        </is>
      </c>
      <c r="H209" s="23" t="inlineStr">
        <is>
          <t>nothing in the profile conflicts with it</t>
        </is>
      </c>
      <c r="I209" s="24" t="inlineStr">
        <is>
          <t>YES</t>
        </is>
      </c>
      <c r="J209" s="23" t="inlineStr">
        <is>
          <t>-</t>
        </is>
      </c>
      <c r="K209" s="23" t="inlineStr">
        <is>
          <t>This is a great fit for Claire—she loves history, it's during her free Sunday morning, a small neighbor group isn't a loud setting, and free cost is no issue. Please confirm her for the museum tour.</t>
        </is>
      </c>
      <c r="L209" s="24" t="inlineStr">
        <is>
          <t>Yes</t>
        </is>
      </c>
      <c r="M209" s="25" t="n"/>
      <c r="N209" s="26" t="inlineStr">
        <is>
          <t>#1007 ask, #1008 call, #1024 reply</t>
        </is>
      </c>
    </row>
    <row r="210" ht="42" customHeight="1">
      <c r="A210" s="23" t="inlineStr">
        <is>
          <t>T1 2026-11-01/g9</t>
        </is>
      </c>
      <c r="B210" s="23" t="inlineStr">
        <is>
          <t>T1</t>
        </is>
      </c>
      <c r="C210" s="23" t="inlineStr">
        <is>
          <t>Black Diamond Museum visit</t>
        </is>
      </c>
      <c r="D210" s="23" t="inlineStr">
        <is>
          <t>e111 Claire B.</t>
        </is>
      </c>
      <c r="E210" s="24" t="n">
        <v>1</v>
      </c>
      <c r="F210" s="23" t="inlineStr">
        <is>
          <t>10:00am-11:30am</t>
        </is>
      </c>
      <c r="G210" s="23" t="inlineStr">
        <is>
          <t>Sunday 10-11:30am, Black Diamond Museum on Railroad Ave with 3 other history-minded neighbors. It's free, relaxed, and full of local stories.</t>
        </is>
      </c>
      <c r="H210" s="23" t="inlineStr">
        <is>
          <t>nothing in the profile conflicts with it</t>
        </is>
      </c>
      <c r="I210" s="24" t="inlineStr">
        <is>
          <t>YES</t>
        </is>
      </c>
      <c r="J210" s="23" t="inlineStr">
        <is>
          <t>-</t>
        </is>
      </c>
      <c r="K210" s="23" t="inlineStr">
        <is>
          <t>Claire's free Sunday morning and loves history, plus it's free and a nice small neighborly group — she'd be happy to join the museum visit.</t>
        </is>
      </c>
      <c r="L210" s="24" t="inlineStr">
        <is>
          <t>Yes</t>
        </is>
      </c>
      <c r="M210" s="25" t="n"/>
      <c r="N210" s="26" t="inlineStr">
        <is>
          <t>#1012 ask, #1013 call, #1034 reply</t>
        </is>
      </c>
    </row>
    <row r="211" ht="42" customHeight="1">
      <c r="A211" s="23" t="inlineStr">
        <is>
          <t>T1 2026-11-01/g10</t>
        </is>
      </c>
      <c r="B211" s="23" t="inlineStr">
        <is>
          <t>T1</t>
        </is>
      </c>
      <c r="C211" s="23" t="inlineStr">
        <is>
          <t>Cribbage and coffee</t>
        </is>
      </c>
      <c r="D211" s="23" t="inlineStr">
        <is>
          <t>e061 Grace M.</t>
        </is>
      </c>
      <c r="E211" s="24" t="n">
        <v>1</v>
      </c>
      <c r="F211" s="23" t="inlineStr">
        <is>
          <t>1:30pm-3:30pm</t>
        </is>
      </c>
      <c r="G211" s="23" t="inlineStr">
        <is>
          <t>Cribbage and coffee at the Black Diamond Bakery, Sunday 1:30-3:30pm, with 3 other neighbors. Cards are your favorite, and that's exactly enough for a four-hand game.</t>
        </is>
      </c>
      <c r="H211" s="23" t="inlineStr">
        <is>
          <t>nothing in the profile conflicts with it</t>
        </is>
      </c>
      <c r="I211" s="24" t="inlineStr">
        <is>
          <t>YES</t>
        </is>
      </c>
      <c r="J211" s="23" t="inlineStr">
        <is>
          <t>-</t>
        </is>
      </c>
      <c r="K211" s="23" t="inlineStr">
        <is>
          <t>Grace loves cards, Sunday afternoon is free, and a four-hand cribbage game with neighbors sounds perfect — she's in!</t>
        </is>
      </c>
      <c r="L211" s="24" t="inlineStr">
        <is>
          <t>Yes</t>
        </is>
      </c>
      <c r="M211" s="25" t="n"/>
      <c r="N211" s="26" t="inlineStr">
        <is>
          <t>#1017 ask, #1018 call, #1029 reply</t>
        </is>
      </c>
    </row>
    <row r="212" ht="29" customHeight="1">
      <c r="A212" s="23" t="inlineStr">
        <is>
          <t>T1 2026-11-01/g10</t>
        </is>
      </c>
      <c r="B212" s="23" t="inlineStr">
        <is>
          <t>T1</t>
        </is>
      </c>
      <c r="C212" s="23" t="inlineStr">
        <is>
          <t>Cribbage and coffee</t>
        </is>
      </c>
      <c r="D212" s="23" t="inlineStr">
        <is>
          <t>e190 Tom O.</t>
        </is>
      </c>
      <c r="E212" s="24" t="n">
        <v>1</v>
      </c>
      <c r="F212" s="23" t="inlineStr">
        <is>
          <t>1:30pm-3:30pm</t>
        </is>
      </c>
      <c r="G212" s="23" t="inlineStr">
        <is>
          <t>Sunday 1:30-3:30pm: cribbage and coffee at the Black Diamond Bakery with 3 neighbors who enjoy cards. It's a cozy downtown afternoon.</t>
        </is>
      </c>
      <c r="H212" s="23" t="inlineStr">
        <is>
          <t>nothing in the profile conflicts with it</t>
        </is>
      </c>
      <c r="I212" s="24" t="inlineStr">
        <is>
          <t>YES</t>
        </is>
      </c>
      <c r="J212" s="23" t="inlineStr">
        <is>
          <t>-</t>
        </is>
      </c>
      <c r="K212" s="23" t="inlineStr">
        <is>
          <t>Tom's free Sunday afternoon and loves cards, so cribbage and coffee with neighbors at Black Diamond Bakery sounds great. Count him in.</t>
        </is>
      </c>
      <c r="L212" s="24" t="inlineStr">
        <is>
          <t>Yes</t>
        </is>
      </c>
      <c r="M212" s="25" t="n"/>
      <c r="N212" s="26" t="inlineStr">
        <is>
          <t>#1022 ask, #1023 call, #1037 reply</t>
        </is>
      </c>
    </row>
    <row r="213" ht="42" customHeight="1">
      <c r="A213" s="23" t="inlineStr">
        <is>
          <t>T1 2026-11-01/g10</t>
        </is>
      </c>
      <c r="B213" s="23" t="inlineStr">
        <is>
          <t>T1</t>
        </is>
      </c>
      <c r="C213" s="23" t="inlineStr">
        <is>
          <t>Cribbage and coffee</t>
        </is>
      </c>
      <c r="D213" s="23" t="inlineStr">
        <is>
          <t>e088 Hannah R.</t>
        </is>
      </c>
      <c r="E213" s="24" t="n">
        <v>1</v>
      </c>
      <c r="F213" s="23" t="inlineStr">
        <is>
          <t>1:30pm-3:30pm</t>
        </is>
      </c>
      <c r="G213" s="23" t="inlineStr">
        <is>
          <t>Coffee and cribbage at the Black Diamond Bakery, Sunday 1:30-3:30pm, with 3 neighbors. You love good coffee, and the card game makes it easy to chat.</t>
        </is>
      </c>
      <c r="H213" s="23" t="inlineStr">
        <is>
          <t>nothing in the profile conflicts with it</t>
        </is>
      </c>
      <c r="I213" s="24" t="inlineStr">
        <is>
          <t>YES</t>
        </is>
      </c>
      <c r="J213" s="23" t="inlineStr">
        <is>
          <t>-</t>
        </is>
      </c>
      <c r="K213" s="23" t="inlineStr">
        <is>
          <t>Hannah's free Sunday afternoon and loves good coffee, so coffee and cribbage with neighbors at Black Diamond Bakery sounds like a nice fit — count her in.</t>
        </is>
      </c>
      <c r="L213" s="24" t="inlineStr">
        <is>
          <t>Yes</t>
        </is>
      </c>
      <c r="M213" s="25" t="n"/>
      <c r="N213" s="26" t="inlineStr">
        <is>
          <t>#1027 ask, #1028 call, #1043 reply</t>
        </is>
      </c>
    </row>
    <row r="214" ht="42" customHeight="1">
      <c r="A214" s="23" t="inlineStr">
        <is>
          <t>T1 2026-11-01/g10</t>
        </is>
      </c>
      <c r="B214" s="23" t="inlineStr">
        <is>
          <t>T1</t>
        </is>
      </c>
      <c r="C214" s="23" t="inlineStr">
        <is>
          <t>Cribbage and coffee</t>
        </is>
      </c>
      <c r="D214" s="23" t="inlineStr">
        <is>
          <t>e133 Jack W.</t>
        </is>
      </c>
      <c r="E214" s="24" t="n">
        <v>1</v>
      </c>
      <c r="F214" s="23" t="inlineStr">
        <is>
          <t>1:30pm-3:30pm</t>
        </is>
      </c>
      <c r="G214" s="23" t="inlineStr">
        <is>
          <t>Sunday 1:30-3:30pm, cribbage over coffee at the Black Diamond Bakery with 3 other card-loving neighbors. You rate cards highly, and some experienced players will be at the table.</t>
        </is>
      </c>
      <c r="H214" s="23" t="inlineStr">
        <is>
          <t>nothing in the profile conflicts with it</t>
        </is>
      </c>
      <c r="I214" s="24" t="inlineStr">
        <is>
          <t>YES</t>
        </is>
      </c>
      <c r="J214" s="23" t="inlineStr">
        <is>
          <t>-</t>
        </is>
      </c>
      <c r="K214" s="23" t="inlineStr">
        <is>
          <t>Sunday afternoon works great for Jack, and cribbage ticks the cards/board games box perfectly. He's in!</t>
        </is>
      </c>
      <c r="L214" s="24" t="inlineStr">
        <is>
          <t>Yes</t>
        </is>
      </c>
      <c r="M214" s="25" t="n"/>
      <c r="N214" s="26" t="inlineStr">
        <is>
          <t>#1032 ask, #1033 call, #1040 reply</t>
        </is>
      </c>
    </row>
    <row r="215" ht="42" customHeight="1">
      <c r="A215" s="23" t="inlineStr">
        <is>
          <t>P2 2026-10-28/g1</t>
        </is>
      </c>
      <c r="B215" s="23" t="inlineStr">
        <is>
          <t>P2</t>
        </is>
      </c>
      <c r="C215" s="23" t="inlineStr">
        <is>
          <t>Trivia night as one team</t>
        </is>
      </c>
      <c r="D215" s="23" t="inlineStr">
        <is>
          <t>e170 Kavya T.</t>
        </is>
      </c>
      <c r="E215" s="24" t="n">
        <v>1</v>
      </c>
      <c r="F215" s="23" t="inlineStr">
        <is>
          <t>7pm-9pm</t>
        </is>
      </c>
      <c r="G215" s="23" t="inlineStr">
        <is>
          <t>Kavya, trivia night Wednesday 7-9pm at a Black Diamond taproom, playing as one team with 3 other neighbors. You're the one who actually loves trivia, so you'd likely be the team's secret weapon. Low cost. Interested?</t>
        </is>
      </c>
      <c r="H215" s="23" t="inlineStr">
        <is>
          <t>nothing in the profile conflicts with it</t>
        </is>
      </c>
      <c r="I215" s="24" t="inlineStr">
        <is>
          <t>YES</t>
        </is>
      </c>
      <c r="J215" s="23" t="inlineStr">
        <is>
          <t>-</t>
        </is>
      </c>
      <c r="K215" s="23" t="inlineStr">
        <is>
          <t>Wednesday 7-9pm works great for Kavya, and trivia is one of her favorite things! She's in for taproom trivia night.</t>
        </is>
      </c>
      <c r="L215" s="24" t="inlineStr">
        <is>
          <t>Yes</t>
        </is>
      </c>
      <c r="M215" s="25" t="n"/>
      <c r="N215" s="26" t="inlineStr">
        <is>
          <t>#48 ask, #49 call, #66 reply</t>
        </is>
      </c>
    </row>
    <row r="216" ht="55" customHeight="1">
      <c r="A216" s="23" t="inlineStr">
        <is>
          <t>P2 2026-10-28/g1</t>
        </is>
      </c>
      <c r="B216" s="23" t="inlineStr">
        <is>
          <t>P2</t>
        </is>
      </c>
      <c r="C216" s="23" t="inlineStr">
        <is>
          <t>Trivia night as one team</t>
        </is>
      </c>
      <c r="D216" s="23" t="inlineStr">
        <is>
          <t>e123 Rachel P.</t>
        </is>
      </c>
      <c r="E216" s="24" t="n">
        <v>1</v>
      </c>
      <c r="F216" s="23" t="inlineStr">
        <is>
          <t>7pm-9pm</t>
        </is>
      </c>
      <c r="G216" s="23" t="inlineStr">
        <is>
          <t>Rachel, want to join a trivia team Wednesday 7-9pm at a local Black Diamond taproom? You'd be with 3 other neighbors, it's low cost, and it's close by, no long drive. Good craft beer is the main draw, and you don't need to be a trivia expert.</t>
        </is>
      </c>
      <c r="H216" s="23" t="inlineStr">
        <is>
          <t>nothing in the profile conflicts with it</t>
        </is>
      </c>
      <c r="I216" s="24" t="inlineStr">
        <is>
          <t>YES</t>
        </is>
      </c>
      <c r="J216" s="23" t="inlineStr">
        <is>
          <t>-</t>
        </is>
      </c>
      <c r="K216" s="23" t="inlineStr">
        <is>
          <t>Craft beer at a local taproom with neighbors on Wednesday evening works great for Rachel, no long drive and she's free that night — count her in!</t>
        </is>
      </c>
      <c r="L216" s="24" t="inlineStr">
        <is>
          <t>Yes</t>
        </is>
      </c>
      <c r="M216" s="25" t="n"/>
      <c r="N216" s="26" t="inlineStr">
        <is>
          <t>#50 ask, #51 call, #81 reply</t>
        </is>
      </c>
    </row>
    <row r="217" ht="42" customHeight="1">
      <c r="A217" s="23" t="inlineStr">
        <is>
          <t>P2 2026-10-28/g1</t>
        </is>
      </c>
      <c r="B217" s="23" t="inlineStr">
        <is>
          <t>P2</t>
        </is>
      </c>
      <c r="C217" s="23" t="inlineStr">
        <is>
          <t>Trivia night as one team</t>
        </is>
      </c>
      <c r="D217" s="23" t="inlineStr">
        <is>
          <t>e049 Lauren P.</t>
        </is>
      </c>
      <c r="E217" s="24" t="n">
        <v>1</v>
      </c>
      <c r="F217" s="23" t="inlineStr">
        <is>
          <t>7pm-9pm</t>
        </is>
      </c>
      <c r="G217" s="23" t="inlineStr">
        <is>
          <t>Lauren, how about trivia night Wednesday 7-9pm at a Black Diamond taproom, on one team with 3 other neighbors? It's a relaxed way to meet people over good craft beer. Low cost.</t>
        </is>
      </c>
      <c r="H217" s="23" t="inlineStr">
        <is>
          <t>nothing in the profile conflicts with it</t>
        </is>
      </c>
      <c r="I217" s="24" t="inlineStr">
        <is>
          <t>YES</t>
        </is>
      </c>
      <c r="J217" s="23" t="inlineStr">
        <is>
          <t>-</t>
        </is>
      </c>
      <c r="K217" s="23" t="inlineStr">
        <is>
          <t>This works well for Lauren—Wednesday evening is free, craft beer at a taproom fits her tastes, and it's low-cost. She's in for trivia night!</t>
        </is>
      </c>
      <c r="L217" s="24" t="inlineStr">
        <is>
          <t>Yes</t>
        </is>
      </c>
      <c r="M217" s="25" t="n"/>
      <c r="N217" s="26" t="inlineStr">
        <is>
          <t>#52 ask, #53 call, #56 reply</t>
        </is>
      </c>
    </row>
    <row r="218" ht="42" customHeight="1">
      <c r="A218" s="23" t="inlineStr">
        <is>
          <t>P2 2026-10-28/g1</t>
        </is>
      </c>
      <c r="B218" s="23" t="inlineStr">
        <is>
          <t>P2</t>
        </is>
      </c>
      <c r="C218" s="23" t="inlineStr">
        <is>
          <t>Trivia night as one team</t>
        </is>
      </c>
      <c r="D218" s="23" t="inlineStr">
        <is>
          <t>e075 Rosa G.</t>
        </is>
      </c>
      <c r="E218" s="24" t="n">
        <v>1</v>
      </c>
      <c r="F218" s="23" t="inlineStr">
        <is>
          <t>7pm-9pm</t>
        </is>
      </c>
      <c r="G218" s="23" t="inlineStr">
        <is>
          <t>Rosa, trivia night Wednesday 7-9pm at a Black Diamond taproom, one team of 4 neighbors. It's mostly an excuse for good craft beer and easy conversation. Low cost. Up for it?</t>
        </is>
      </c>
      <c r="H218" s="23" t="inlineStr">
        <is>
          <t>nothing in the profile conflicts with it</t>
        </is>
      </c>
      <c r="I218" s="24" t="inlineStr">
        <is>
          <t>YES</t>
        </is>
      </c>
      <c r="J218" s="23" t="inlineStr">
        <is>
          <t>-</t>
        </is>
      </c>
      <c r="K218" s="23" t="inlineStr">
        <is>
          <t>Rosa's free Wednesday evening and loves craft beer and casual socializing, so trivia night at the taproom sounds great — count her in.</t>
        </is>
      </c>
      <c r="L218" s="24" t="inlineStr">
        <is>
          <t>Yes</t>
        </is>
      </c>
      <c r="M218" s="25" t="n"/>
      <c r="N218" s="26" t="inlineStr">
        <is>
          <t>#54 ask, #55 call, #61 reply</t>
        </is>
      </c>
    </row>
    <row r="219" ht="42" customHeight="1">
      <c r="A219" s="23" t="inlineStr">
        <is>
          <t>P2 2026-10-28/g2</t>
        </is>
      </c>
      <c r="B219" s="23" t="inlineStr">
        <is>
          <t>P2</t>
        </is>
      </c>
      <c r="C219" s="23" t="inlineStr">
        <is>
          <t>Pickleball doubles</t>
        </is>
      </c>
      <c r="D219" s="23" t="inlineStr">
        <is>
          <t>e081 Andres T.</t>
        </is>
      </c>
      <c r="E219" s="24" t="n">
        <v>1</v>
      </c>
      <c r="F219" s="23" t="inlineStr">
        <is>
          <t>6pm-7:30pm</t>
        </is>
      </c>
      <c r="G219" s="23" t="inlineStr">
        <is>
          <t>Andres, pickleball doubles Wednesday 6-7:30pm at the public courts in Maple Valley, with 3 other neighbors who love the game as much as you do. That's exactly enough for doubles, and it's free. In?</t>
        </is>
      </c>
      <c r="H219" s="23" t="inlineStr">
        <is>
          <t>nothing in the profile conflicts with it</t>
        </is>
      </c>
      <c r="I219" s="24" t="inlineStr">
        <is>
          <t>YES</t>
        </is>
      </c>
      <c r="J219" s="23" t="inlineStr">
        <is>
          <t>-</t>
        </is>
      </c>
      <c r="K219" s="23" t="inlineStr">
        <is>
          <t>Wednesday evening works great for Andres, and pickleball is one of his favorites. He's in!</t>
        </is>
      </c>
      <c r="L219" s="24" t="inlineStr">
        <is>
          <t>Yes</t>
        </is>
      </c>
      <c r="M219" s="25" t="n"/>
      <c r="N219" s="26" t="inlineStr">
        <is>
          <t>#59 ask, #60 call, #76 reply</t>
        </is>
      </c>
    </row>
    <row r="220" ht="42" customHeight="1">
      <c r="A220" s="23" t="inlineStr">
        <is>
          <t>P2 2026-10-28/g2</t>
        </is>
      </c>
      <c r="B220" s="23" t="inlineStr">
        <is>
          <t>P2</t>
        </is>
      </c>
      <c r="C220" s="23" t="inlineStr">
        <is>
          <t>Pickleball doubles</t>
        </is>
      </c>
      <c r="D220" s="23" t="inlineStr">
        <is>
          <t>e043 Quinn J.</t>
        </is>
      </c>
      <c r="E220" s="24" t="n">
        <v>1</v>
      </c>
      <c r="F220" s="23" t="inlineStr">
        <is>
          <t>6pm-7:30pm</t>
        </is>
      </c>
      <c r="G220" s="23" t="inlineStr">
        <is>
          <t>Quinn, free pickleball doubles Wednesday 6-7:30pm at the Maple Valley public courts. It's a full foursome of keen players, you plus 3 neighbors. Want a spot?</t>
        </is>
      </c>
      <c r="H220" s="23" t="inlineStr">
        <is>
          <t>nothing in the profile conflicts with it</t>
        </is>
      </c>
      <c r="I220" s="24" t="inlineStr">
        <is>
          <t>YES</t>
        </is>
      </c>
      <c r="J220" s="23" t="inlineStr">
        <is>
          <t>-</t>
        </is>
      </c>
      <c r="K220" s="23" t="inlineStr">
        <is>
          <t>Quinn's free Wednesday evening and loves pickleball, plus it's free at public courts - perfect fit. Count Quinn in!</t>
        </is>
      </c>
      <c r="L220" s="24" t="inlineStr">
        <is>
          <t>Yes</t>
        </is>
      </c>
      <c r="M220" s="25" t="n"/>
      <c r="N220" s="26" t="inlineStr">
        <is>
          <t>#64 ask, #65 call, #71 reply</t>
        </is>
      </c>
    </row>
    <row r="221" ht="42" customHeight="1">
      <c r="A221" s="23" t="inlineStr">
        <is>
          <t>P2 2026-10-28/g2</t>
        </is>
      </c>
      <c r="B221" s="23" t="inlineStr">
        <is>
          <t>P2</t>
        </is>
      </c>
      <c r="C221" s="23" t="inlineStr">
        <is>
          <t>Pickleball doubles</t>
        </is>
      </c>
      <c r="D221" s="23" t="inlineStr">
        <is>
          <t>e078 Kevin N.</t>
        </is>
      </c>
      <c r="E221" s="24" t="n">
        <v>1</v>
      </c>
      <c r="F221" s="23" t="inlineStr">
        <is>
          <t>6pm-7:30pm</t>
        </is>
      </c>
      <c r="G221" s="23" t="inlineStr">
        <is>
          <t>Kevin, pickleball doubles Wednesday 6-7:30pm at the Maple Valley public courts, a short trip, with 3 other neighbors who are all big on pickleball. It's free. Sound good?</t>
        </is>
      </c>
      <c r="H221" s="23" t="inlineStr">
        <is>
          <t>nothing in the profile conflicts with it</t>
        </is>
      </c>
      <c r="I221" s="24" t="inlineStr">
        <is>
          <t>YES</t>
        </is>
      </c>
      <c r="J221" s="23" t="inlineStr">
        <is>
          <t>-</t>
        </is>
      </c>
      <c r="K221" s="23" t="inlineStr">
        <is>
          <t>Wednesday 6-7:30pm pickleball at Maple Valley courts works great for Kevin — free, fits his evening, and he loves pickleball. Count him in!</t>
        </is>
      </c>
      <c r="L221" s="24" t="inlineStr">
        <is>
          <t>Yes</t>
        </is>
      </c>
      <c r="M221" s="25" t="n"/>
      <c r="N221" s="26" t="inlineStr">
        <is>
          <t>#69 ask, #70 call, #101 reply</t>
        </is>
      </c>
    </row>
    <row r="222" ht="42" customHeight="1">
      <c r="A222" s="23" t="inlineStr">
        <is>
          <t>P2 2026-10-28/g2</t>
        </is>
      </c>
      <c r="B222" s="23" t="inlineStr">
        <is>
          <t>P2</t>
        </is>
      </c>
      <c r="C222" s="23" t="inlineStr">
        <is>
          <t>Pickleball doubles</t>
        </is>
      </c>
      <c r="D222" s="23" t="inlineStr">
        <is>
          <t>e167 Heather P.</t>
        </is>
      </c>
      <c r="E222" s="24" t="n">
        <v>1</v>
      </c>
      <c r="F222" s="23" t="inlineStr">
        <is>
          <t>6pm-7:30pm</t>
        </is>
      </c>
      <c r="G222" s="23" t="inlineStr">
        <is>
          <t>Heather, evening pickleball doubles Wednesday 6-7:30pm at the Maple Valley courts, close to Lake Sawyer, so no long drive and nothing early. You'd play with 3 other keen neighbors, free. Interested?</t>
        </is>
      </c>
      <c r="H222" s="23" t="inlineStr">
        <is>
          <t>nothing in the profile conflicts with it</t>
        </is>
      </c>
      <c r="I222" s="24" t="inlineStr">
        <is>
          <t>YES</t>
        </is>
      </c>
      <c r="J222" s="23" t="inlineStr">
        <is>
          <t>-</t>
        </is>
      </c>
      <c r="K222" s="23" t="inlineStr">
        <is>
          <t>Wednesday 6-7:30pm pickleball at Maple Valley courts works great for Heather — free, close by, and fits her free evening. Count her in!</t>
        </is>
      </c>
      <c r="L222" s="24" t="inlineStr">
        <is>
          <t>Yes</t>
        </is>
      </c>
      <c r="M222" s="25" t="n"/>
      <c r="N222" s="26" t="inlineStr">
        <is>
          <t>#74 ask, #75 call, #91 reply</t>
        </is>
      </c>
    </row>
    <row r="223" ht="55" customHeight="1">
      <c r="A223" s="23" t="inlineStr">
        <is>
          <t>P2 2026-10-28/g3</t>
        </is>
      </c>
      <c r="B223" s="23" t="inlineStr">
        <is>
          <t>P2</t>
        </is>
      </c>
      <c r="C223" s="23" t="inlineStr">
        <is>
          <t>Evening walk on the Ten Trails paths</t>
        </is>
      </c>
      <c r="D223" s="23" t="inlineStr">
        <is>
          <t>e082 Isabel G.</t>
        </is>
      </c>
      <c r="E223" s="24" t="n">
        <v>1</v>
      </c>
      <c r="F223" s="23" t="inlineStr">
        <is>
          <t>5:30pm-6:45pm</t>
        </is>
      </c>
      <c r="G223" s="23" t="inlineStr">
        <is>
          <t>Isabel, an evening walk on the Ten Trails paths Wednesday 5:30-6:45pm with 2 other neighbors. It's a mix of brisk walking and easy running, dogs welcome, and it's low-key, not a race, and not crowded. Free. Want to come?</t>
        </is>
      </c>
      <c r="H223" s="23" t="inlineStr">
        <is>
          <t>nothing in the profile conflicts with it</t>
        </is>
      </c>
      <c r="I223" s="24" t="inlineStr">
        <is>
          <t>YES</t>
        </is>
      </c>
      <c r="J223" s="23" t="inlineStr">
        <is>
          <t>-</t>
        </is>
      </c>
      <c r="K223" s="23" t="inlineStr">
        <is>
          <t>This works great for Isabel — Wednesday evening is free, it's a free, low-key small group (not crowded or competitive), dogs welcome fits her love of dog walks and running. She's in!</t>
        </is>
      </c>
      <c r="L223" s="24" t="inlineStr">
        <is>
          <t>Yes</t>
        </is>
      </c>
      <c r="M223" s="25" t="n"/>
      <c r="N223" s="26" t="inlineStr">
        <is>
          <t>#79 ask, #80 call, #86 reply</t>
        </is>
      </c>
    </row>
    <row r="224" ht="42" customHeight="1">
      <c r="A224" s="23" t="inlineStr">
        <is>
          <t>P2 2026-10-28/g3</t>
        </is>
      </c>
      <c r="B224" s="23" t="inlineStr">
        <is>
          <t>P2</t>
        </is>
      </c>
      <c r="C224" s="23" t="inlineStr">
        <is>
          <t>Evening walk on the Ten Trails paths</t>
        </is>
      </c>
      <c r="D224" s="23" t="inlineStr">
        <is>
          <t>e046 Dylan B.</t>
        </is>
      </c>
      <c r="E224" s="24" t="n">
        <v>1</v>
      </c>
      <c r="F224" s="23" t="inlineStr">
        <is>
          <t>5:30pm-6:45pm</t>
        </is>
      </c>
      <c r="G224" s="23" t="inlineStr">
        <is>
          <t>Dylan, Wednesday 5:30-6:45pm, how about a walk-and-run loop on the Ten Trails paths right in your neighborhood? It's you and 2 other neighbors who like running and hiking. Free.</t>
        </is>
      </c>
      <c r="H224" s="23" t="inlineStr">
        <is>
          <t>nothing in the profile conflicts with it</t>
        </is>
      </c>
      <c r="I224" s="24" t="inlineStr">
        <is>
          <t>YES</t>
        </is>
      </c>
      <c r="J224" s="23" t="inlineStr">
        <is>
          <t>-</t>
        </is>
      </c>
      <c r="K224" s="23" t="inlineStr">
        <is>
          <t>Wednesday evening works great for Dylan—free, local, and running/hiking with neighbors is right up his alley. Count him in.</t>
        </is>
      </c>
      <c r="L224" s="24" t="inlineStr">
        <is>
          <t>Yes</t>
        </is>
      </c>
      <c r="M224" s="25" t="n"/>
      <c r="N224" s="26" t="inlineStr">
        <is>
          <t>#84 ask, #85 call, #96 reply</t>
        </is>
      </c>
    </row>
    <row r="225" ht="42" customHeight="1">
      <c r="A225" s="23" t="inlineStr">
        <is>
          <t>P2 2026-10-28/g3</t>
        </is>
      </c>
      <c r="B225" s="23" t="inlineStr">
        <is>
          <t>P2</t>
        </is>
      </c>
      <c r="C225" s="23" t="inlineStr">
        <is>
          <t>Evening walk on the Ten Trails paths</t>
        </is>
      </c>
      <c r="D225" s="23" t="inlineStr">
        <is>
          <t>e067 Donna M.</t>
        </is>
      </c>
      <c r="E225" s="24" t="n">
        <v>1</v>
      </c>
      <c r="F225" s="23" t="inlineStr">
        <is>
          <t>5:30pm-6:45pm</t>
        </is>
      </c>
      <c r="G225" s="23" t="inlineStr">
        <is>
          <t>Donna, a quiet evening walk on the Ten Trails paths Wednesday 5:30-6:45pm with just 2 other neighbors, no crowds. There's some easy running if you like, and dogs are welcome. Free. Interested?</t>
        </is>
      </c>
      <c r="H225" s="23" t="inlineStr">
        <is>
          <t>nothing in the profile conflicts with it</t>
        </is>
      </c>
      <c r="I225" s="24" t="inlineStr">
        <is>
          <t>YES</t>
        </is>
      </c>
      <c r="J225" s="23" t="inlineStr">
        <is>
          <t>-</t>
        </is>
      </c>
      <c r="K225" s="23" t="inlineStr">
        <is>
          <t>Wednesday evening works great for Donna—free then, small group not a crowd, dogs welcome, and a bit of walking/running is right up her alley. Count her in!</t>
        </is>
      </c>
      <c r="L225" s="24" t="inlineStr">
        <is>
          <t>Yes</t>
        </is>
      </c>
      <c r="M225" s="25" t="n"/>
      <c r="N225" s="26" t="inlineStr">
        <is>
          <t>#89 ask, #90 call, #106 reply</t>
        </is>
      </c>
    </row>
    <row r="226" ht="42" customHeight="1">
      <c r="A226" s="23" t="inlineStr">
        <is>
          <t>P2 2026-10-28/g4</t>
        </is>
      </c>
      <c r="B226" s="23" t="inlineStr">
        <is>
          <t>P2</t>
        </is>
      </c>
      <c r="C226" s="23" t="inlineStr">
        <is>
          <t>Coffee and pastries at the Black Diamond Bakery</t>
        </is>
      </c>
      <c r="D226" s="23" t="inlineStr">
        <is>
          <t>e035 Mark C.</t>
        </is>
      </c>
      <c r="E226" s="24" t="n">
        <v>1</v>
      </c>
      <c r="F226" s="23" t="inlineStr">
        <is>
          <t>9:30am-11am</t>
        </is>
      </c>
      <c r="G226" s="23" t="inlineStr">
        <is>
          <t>Mark, coffee and pastries Wednesday 9:30-11am at the Black Diamond Bakery with 3 other neighbors. They're parents too, and fellow coffee and baking fans. Low cost. Join?</t>
        </is>
      </c>
      <c r="H226" s="23" t="inlineStr">
        <is>
          <t>nothing in the profile conflicts with it</t>
        </is>
      </c>
      <c r="I226" s="24" t="inlineStr">
        <is>
          <t>YES</t>
        </is>
      </c>
      <c r="J226" s="23" t="inlineStr">
        <is>
          <t>-</t>
        </is>
      </c>
      <c r="K226" s="23" t="inlineStr">
        <is>
          <t>This works well for Mark—Wednesday morning is free, coffee and baked goods fit his tastes perfectly, and low-cost with fellow parents is a great match. He's in!</t>
        </is>
      </c>
      <c r="L226" s="24" t="inlineStr">
        <is>
          <t>Yes</t>
        </is>
      </c>
      <c r="M226" s="25" t="n"/>
      <c r="N226" s="26" t="inlineStr">
        <is>
          <t>#94 ask, #95 call, #121 reply</t>
        </is>
      </c>
    </row>
    <row r="227" ht="42" customHeight="1">
      <c r="A227" s="23" t="inlineStr">
        <is>
          <t>P2 2026-10-28/g4</t>
        </is>
      </c>
      <c r="B227" s="23" t="inlineStr">
        <is>
          <t>P2</t>
        </is>
      </c>
      <c r="C227" s="23" t="inlineStr">
        <is>
          <t>Coffee and pastries at the Black Diamond Bakery</t>
        </is>
      </c>
      <c r="D227" s="23" t="inlineStr">
        <is>
          <t>e127 Chris W.</t>
        </is>
      </c>
      <c r="E227" s="24" t="n">
        <v>1</v>
      </c>
      <c r="F227" s="23" t="inlineStr">
        <is>
          <t>9:30am-11am</t>
        </is>
      </c>
      <c r="G227" s="23" t="inlineStr">
        <is>
          <t>Chris, a late-morning bakery meetup Wednesday 9:30-11am, nothing early, at the Black Diamond Bakery. You'd be with 3 other parents who are into baking. Low cost. Sound nice?</t>
        </is>
      </c>
      <c r="H227" s="23" t="inlineStr">
        <is>
          <t>nothing in the profile conflicts with it</t>
        </is>
      </c>
      <c r="I227" s="24" t="inlineStr">
        <is>
          <t>YES</t>
        </is>
      </c>
      <c r="J227" s="23" t="inlineStr">
        <is>
          <t>-</t>
        </is>
      </c>
      <c r="K227" s="23" t="inlineStr">
        <is>
          <t>This works well for Chris — Wednesday morning is free, 9:30am isn't too early, and coffee plus a bakery meetup with fellow baking fans is right up their alley. Count Chris in!</t>
        </is>
      </c>
      <c r="L227" s="24" t="inlineStr">
        <is>
          <t>Yes</t>
        </is>
      </c>
      <c r="M227" s="25" t="n"/>
      <c r="N227" s="26" t="inlineStr">
        <is>
          <t>#99 ask, #100 call, #111 reply</t>
        </is>
      </c>
    </row>
    <row r="228" ht="42" customHeight="1">
      <c r="A228" s="23" t="inlineStr">
        <is>
          <t>P2 2026-10-28/g4</t>
        </is>
      </c>
      <c r="B228" s="23" t="inlineStr">
        <is>
          <t>P2</t>
        </is>
      </c>
      <c r="C228" s="23" t="inlineStr">
        <is>
          <t>Coffee and pastries at the Black Diamond Bakery</t>
        </is>
      </c>
      <c r="D228" s="23" t="inlineStr">
        <is>
          <t>e047 Brian O.</t>
        </is>
      </c>
      <c r="E228" s="24" t="n">
        <v>1</v>
      </c>
      <c r="F228" s="23" t="inlineStr">
        <is>
          <t>9:30am-11am</t>
        </is>
      </c>
      <c r="G228" s="23" t="inlineStr">
        <is>
          <t>Brian, coffee and pastries Wednesday 9:30-11am at the Black Diamond Bakery with 3 other parents. You'd have good company for talking baking. Low cost. Interested?</t>
        </is>
      </c>
      <c r="H228" s="23" t="inlineStr">
        <is>
          <t>nothing in the profile conflicts with it</t>
        </is>
      </c>
      <c r="I228" s="24" t="inlineStr">
        <is>
          <t>YES</t>
        </is>
      </c>
      <c r="J228" s="23" t="inlineStr">
        <is>
          <t>-</t>
        </is>
      </c>
      <c r="K228" s="23" t="inlineStr">
        <is>
          <t>Wednesday morning works great for Brian, and coffee with pastries while talking baking sounds right up his alley. Count him in!</t>
        </is>
      </c>
      <c r="L228" s="24" t="inlineStr">
        <is>
          <t>Yes</t>
        </is>
      </c>
      <c r="M228" s="25" t="n"/>
      <c r="N228" s="26" t="inlineStr">
        <is>
          <t>#104 ask, #105 call, #116 reply</t>
        </is>
      </c>
    </row>
    <row r="229" ht="42" customHeight="1">
      <c r="A229" s="23" t="inlineStr">
        <is>
          <t>P2 2026-10-28/g4</t>
        </is>
      </c>
      <c r="B229" s="23" t="inlineStr">
        <is>
          <t>P2</t>
        </is>
      </c>
      <c r="C229" s="23" t="inlineStr">
        <is>
          <t>Coffee and pastries at the Black Diamond Bakery</t>
        </is>
      </c>
      <c r="D229" s="23" t="inlineStr">
        <is>
          <t>e041 Imani O.</t>
        </is>
      </c>
      <c r="E229" s="24" t="n">
        <v>1</v>
      </c>
      <c r="F229" s="23" t="inlineStr">
        <is>
          <t>9:30am-11am</t>
        </is>
      </c>
      <c r="G229" s="23" t="inlineStr">
        <is>
          <t>Imani, Wednesday 9:30-11am at the Black Diamond Bakery, close to home, for good coffee and pastries with 3 other parents. Low cost. Want to come?</t>
        </is>
      </c>
      <c r="H229" s="23" t="inlineStr">
        <is>
          <t>nothing in the profile conflicts with it</t>
        </is>
      </c>
      <c r="I229" s="24" t="inlineStr">
        <is>
          <t>YES</t>
        </is>
      </c>
      <c r="J229" s="23" t="inlineStr">
        <is>
          <t>-</t>
        </is>
      </c>
      <c r="K229" s="23" t="inlineStr">
        <is>
          <t>This fits perfectly - Wednesday morning is free, it's close to home so no long drive, coffee is something Imani loves, and it's low-cost. Count her in!</t>
        </is>
      </c>
      <c r="L229" s="24" t="inlineStr">
        <is>
          <t>Yes</t>
        </is>
      </c>
      <c r="M229" s="25" t="n"/>
      <c r="N229" s="26" t="inlineStr">
        <is>
          <t>#109 ask, #110 call, #126 reply</t>
        </is>
      </c>
    </row>
    <row r="230" ht="42" customHeight="1">
      <c r="A230" s="23" t="inlineStr">
        <is>
          <t>P2 2026-10-28/g5</t>
        </is>
      </c>
      <c r="B230" s="23" t="inlineStr">
        <is>
          <t>P2</t>
        </is>
      </c>
      <c r="C230" s="23" t="inlineStr">
        <is>
          <t>Birding walk at Lake Sawyer</t>
        </is>
      </c>
      <c r="D230" s="23" t="inlineStr">
        <is>
          <t>e038 Ron B.</t>
        </is>
      </c>
      <c r="E230" s="24" t="n">
        <v>1</v>
      </c>
      <c r="F230" s="23" t="inlineStr">
        <is>
          <t>8am-10am</t>
        </is>
      </c>
      <c r="G230" s="23" t="inlineStr">
        <is>
          <t>Ron, a birding walk at Lake Sawyer Regional Park Wednesday 8-10am with 3 other neighbors. It has birding and photography, two of your favorites. Free. In?</t>
        </is>
      </c>
      <c r="H230" s="23" t="inlineStr">
        <is>
          <t>nothing in the profile conflicts with it</t>
        </is>
      </c>
      <c r="I230" s="24" t="inlineStr">
        <is>
          <t>YES</t>
        </is>
      </c>
      <c r="J230" s="23" t="inlineStr">
        <is>
          <t>-</t>
        </is>
      </c>
      <c r="K230" s="23" t="inlineStr">
        <is>
          <t>Ron's free Wednesday morning and loves birding plus photography—sign him up for the Lake Sawyer walk!</t>
        </is>
      </c>
      <c r="L230" s="24" t="inlineStr">
        <is>
          <t>Yes</t>
        </is>
      </c>
      <c r="M230" s="25" t="n"/>
      <c r="N230" s="26" t="inlineStr">
        <is>
          <t>#114 ask, #115 call, #131 reply</t>
        </is>
      </c>
    </row>
    <row r="231" ht="42" customHeight="1">
      <c r="A231" s="23" t="inlineStr">
        <is>
          <t>P2 2026-10-28/g5</t>
        </is>
      </c>
      <c r="B231" s="23" t="inlineStr">
        <is>
          <t>P2</t>
        </is>
      </c>
      <c r="C231" s="23" t="inlineStr">
        <is>
          <t>Birding walk at Lake Sawyer</t>
        </is>
      </c>
      <c r="D231" s="23" t="inlineStr">
        <is>
          <t>e069 Noah P.</t>
        </is>
      </c>
      <c r="E231" s="24" t="n">
        <v>1</v>
      </c>
      <c r="F231" s="23" t="inlineStr">
        <is>
          <t>8am-10am</t>
        </is>
      </c>
      <c r="G231" s="23" t="inlineStr">
        <is>
          <t>Noah, a morning birding walk at Lake Sawyer Regional Park Wednesday 8-10am with 3 other neighbors who enjoy birds. It's free and unhurried. Interested?</t>
        </is>
      </c>
      <c r="H231" s="23" t="inlineStr">
        <is>
          <t>nothing in the profile conflicts with it</t>
        </is>
      </c>
      <c r="I231" s="24" t="inlineStr">
        <is>
          <t>YES</t>
        </is>
      </c>
      <c r="J231" s="23" t="inlineStr">
        <is>
          <t>-</t>
        </is>
      </c>
      <c r="K231" s="23" t="inlineStr">
        <is>
          <t>This is a great fit—Noah loves birding and is free Wednesday morning. Sign him up for the 8-10am walk at Lake Sawyer Regional Park.</t>
        </is>
      </c>
      <c r="L231" s="24" t="inlineStr">
        <is>
          <t>Yes</t>
        </is>
      </c>
      <c r="M231" s="25" t="n"/>
      <c r="N231" s="26" t="inlineStr">
        <is>
          <t>#119 ask, #120 call, #136 reply</t>
        </is>
      </c>
    </row>
    <row r="232" ht="42" customHeight="1">
      <c r="A232" s="23" t="inlineStr">
        <is>
          <t>P2 2026-10-28/g5</t>
        </is>
      </c>
      <c r="B232" s="23" t="inlineStr">
        <is>
          <t>P2</t>
        </is>
      </c>
      <c r="C232" s="23" t="inlineStr">
        <is>
          <t>Birding walk at Lake Sawyer</t>
        </is>
      </c>
      <c r="D232" s="23" t="inlineStr">
        <is>
          <t>e111 Claire B.</t>
        </is>
      </c>
      <c r="E232" s="24" t="n">
        <v>1</v>
      </c>
      <c r="F232" s="23" t="inlineStr">
        <is>
          <t>8am-10am</t>
        </is>
      </c>
      <c r="G232" s="23" t="inlineStr">
        <is>
          <t>Claire, a gentle birding walk around Lake Sawyer Regional Park Wednesday 8-10am with 3 other neighbors. Free. Would you like to join?</t>
        </is>
      </c>
      <c r="H232" s="23" t="inlineStr">
        <is>
          <t>nothing in the profile conflicts with it</t>
        </is>
      </c>
      <c r="I232" s="24" t="inlineStr">
        <is>
          <t>YES</t>
        </is>
      </c>
      <c r="J232" s="23" t="inlineStr">
        <is>
          <t>-</t>
        </is>
      </c>
      <c r="K232" s="23" t="inlineStr">
        <is>
          <t>Claire would love to join the birding walk at Lake Sawyer Regional Park on Wednesday 8-10am - it's free, fits her free morning, and birding is one of her favorite activities.</t>
        </is>
      </c>
      <c r="L232" s="24" t="inlineStr">
        <is>
          <t>Yes</t>
        </is>
      </c>
      <c r="M232" s="25" t="n"/>
      <c r="N232" s="26" t="inlineStr">
        <is>
          <t>#124 ask, #125 call, #141 reply</t>
        </is>
      </c>
    </row>
    <row r="233" ht="42" customHeight="1">
      <c r="A233" s="23" t="inlineStr">
        <is>
          <t>P2 2026-10-28/g5</t>
        </is>
      </c>
      <c r="B233" s="23" t="inlineStr">
        <is>
          <t>P2</t>
        </is>
      </c>
      <c r="C233" s="23" t="inlineStr">
        <is>
          <t>Birding walk at Lake Sawyer</t>
        </is>
      </c>
      <c r="D233" s="23" t="inlineStr">
        <is>
          <t>e124 Wei T.</t>
        </is>
      </c>
      <c r="E233" s="24" t="n">
        <v>1</v>
      </c>
      <c r="F233" s="23" t="inlineStr">
        <is>
          <t>8am-10am</t>
        </is>
      </c>
      <c r="G233" s="23" t="inlineStr">
        <is>
          <t>Wei, a quiet photography-friendly birding walk at Lake Sawyer Regional Park Wednesday 8-10am. It's a small group of 4, not crowded and not competitive, and a great chance for lake and bird shots. Free.</t>
        </is>
      </c>
      <c r="H233" s="23" t="inlineStr">
        <is>
          <t>nothing in the profile conflicts with it</t>
        </is>
      </c>
      <c r="I233" s="24" t="inlineStr">
        <is>
          <t>YES</t>
        </is>
      </c>
      <c r="J233" s="23" t="inlineStr">
        <is>
          <t>-</t>
        </is>
      </c>
      <c r="K233" s="23" t="inlineStr">
        <is>
          <t>This fits well—Wednesday morning is free, it's free cost, small non-competitive group, and the photography angle at the lake is right up Wei's alley. Let's do it.</t>
        </is>
      </c>
      <c r="L233" s="24" t="inlineStr">
        <is>
          <t>Yes</t>
        </is>
      </c>
      <c r="M233" s="25" t="n"/>
      <c r="N233" s="26" t="inlineStr">
        <is>
          <t>#129 ask, #130 call, #151 reply</t>
        </is>
      </c>
    </row>
    <row r="234" ht="42" customHeight="1">
      <c r="A234" s="23" t="inlineStr">
        <is>
          <t>P2 2026-10-28/g6</t>
        </is>
      </c>
      <c r="B234" s="23" t="inlineStr">
        <is>
          <t>P2</t>
        </is>
      </c>
      <c r="C234" s="23" t="inlineStr">
        <is>
          <t>Franklin ghost town hike</t>
        </is>
      </c>
      <c r="D234" s="23" t="inlineStr">
        <is>
          <t>e143 Carlos T.</t>
        </is>
      </c>
      <c r="E234" s="24" t="n">
        <v>1</v>
      </c>
      <c r="F234" s="23" t="inlineStr">
        <is>
          <t>1pm-4pm</t>
        </is>
      </c>
      <c r="G234" s="23" t="inlineStr">
        <is>
          <t>Carlos, an afternoon hike Wednesday 1-4pm to the Franklin ghost town off Green River Gorge Rd, with 3 other neighbors. It's hiking plus real local history, nothing early, and quiet. Free. Interested?</t>
        </is>
      </c>
      <c r="H234" s="23" t="inlineStr">
        <is>
          <t>nothing in the profile conflicts with it</t>
        </is>
      </c>
      <c r="I234" s="24" t="inlineStr">
        <is>
          <t>YES</t>
        </is>
      </c>
      <c r="J234" s="23" t="inlineStr">
        <is>
          <t>-</t>
        </is>
      </c>
      <c r="K234" s="23" t="inlineStr">
        <is>
          <t>This sounds great for Carlos — Wednesday afternoon works perfectly, he loves hiking and history, and a quiet small group outdoors is right up his alley. Count him in.</t>
        </is>
      </c>
      <c r="L234" s="24" t="inlineStr">
        <is>
          <t>Yes</t>
        </is>
      </c>
      <c r="M234" s="25" t="n"/>
      <c r="N234" s="26" t="inlineStr">
        <is>
          <t>#134 ask, #135 call, #146 reply</t>
        </is>
      </c>
    </row>
    <row r="235" ht="42" customHeight="1">
      <c r="A235" s="23" t="inlineStr">
        <is>
          <t>P2 2026-10-28/g6</t>
        </is>
      </c>
      <c r="B235" s="23" t="inlineStr">
        <is>
          <t>P2</t>
        </is>
      </c>
      <c r="C235" s="23" t="inlineStr">
        <is>
          <t>Franklin ghost town hike</t>
        </is>
      </c>
      <c r="D235" s="23" t="inlineStr">
        <is>
          <t>e055 Ryan M.</t>
        </is>
      </c>
      <c r="E235" s="24" t="n">
        <v>1</v>
      </c>
      <c r="F235" s="23" t="inlineStr">
        <is>
          <t>1pm-4pm</t>
        </is>
      </c>
      <c r="G235" s="23" t="inlineStr">
        <is>
          <t>Ryan, a walk to the Franklin ghost town Wednesday 1-4pm with 3 other neighbors. It's a fascinating slice of local mining history. Free. Would you like to come?</t>
        </is>
      </c>
      <c r="H235" s="23" t="inlineStr">
        <is>
          <t>nothing in the profile conflicts with it</t>
        </is>
      </c>
      <c r="I235" s="24" t="inlineStr">
        <is>
          <t>YES</t>
        </is>
      </c>
      <c r="J235" s="23" t="inlineStr">
        <is>
          <t>-</t>
        </is>
      </c>
      <c r="K235" s="23" t="inlineStr">
        <is>
          <t>Wednesday afternoon works great for Ryan—he's free then, loves history, and this ghost town hike sounds right up his alley. Free and local too. Count him in!</t>
        </is>
      </c>
      <c r="L235" s="24" t="inlineStr">
        <is>
          <t>Yes</t>
        </is>
      </c>
      <c r="M235" s="25" t="n"/>
      <c r="N235" s="26" t="inlineStr">
        <is>
          <t>#139 ask, #140 call, #160 reply</t>
        </is>
      </c>
    </row>
    <row r="236" ht="42" customHeight="1">
      <c r="A236" s="23" t="inlineStr">
        <is>
          <t>P2 2026-10-28/g6</t>
        </is>
      </c>
      <c r="B236" s="23" t="inlineStr">
        <is>
          <t>P2</t>
        </is>
      </c>
      <c r="C236" s="23" t="inlineStr">
        <is>
          <t>Franklin ghost town hike</t>
        </is>
      </c>
      <c r="D236" s="23" t="inlineStr">
        <is>
          <t>e148 Grace C.</t>
        </is>
      </c>
      <c r="E236" s="24" t="n">
        <v>1</v>
      </c>
      <c r="F236" s="23" t="inlineStr">
        <is>
          <t>1pm-4pm</t>
        </is>
      </c>
      <c r="G236" s="23" t="inlineStr">
        <is>
          <t>Grace, a ghost town hike Wednesday 1-4pm at the Franklin trail on Green River Gorge Rd, with 3 other neighbors. It's a midday start, so no early alarm and home well before dark. Free. Up for it?</t>
        </is>
      </c>
      <c r="H236" s="23" t="inlineStr">
        <is>
          <t>nothing in the profile conflicts with it</t>
        </is>
      </c>
      <c r="I236" s="24" t="inlineStr">
        <is>
          <t>YES</t>
        </is>
      </c>
      <c r="J236" s="23" t="inlineStr">
        <is>
          <t>-</t>
        </is>
      </c>
      <c r="K236" s="23" t="inlineStr">
        <is>
          <t>This works great for Grace—Wednesday afternoon is free, hiking is a top love, it's free, and the midday timing avoids both early mornings and late nights. She's in!</t>
        </is>
      </c>
      <c r="L236" s="24" t="inlineStr">
        <is>
          <t>Yes</t>
        </is>
      </c>
      <c r="M236" s="25" t="n"/>
      <c r="N236" s="26" t="inlineStr">
        <is>
          <t>#144 ask, #145 call, #157 reply</t>
        </is>
      </c>
    </row>
    <row r="237" ht="29" customHeight="1">
      <c r="A237" s="23" t="inlineStr">
        <is>
          <t>P2 2026-10-28/g6</t>
        </is>
      </c>
      <c r="B237" s="23" t="inlineStr">
        <is>
          <t>P2</t>
        </is>
      </c>
      <c r="C237" s="23" t="inlineStr">
        <is>
          <t>Franklin ghost town hike</t>
        </is>
      </c>
      <c r="D237" s="23" t="inlineStr">
        <is>
          <t>e105 Josh L.</t>
        </is>
      </c>
      <c r="E237" s="24" t="n">
        <v>1</v>
      </c>
      <c r="F237" s="23" t="inlineStr">
        <is>
          <t>1pm-4pm</t>
        </is>
      </c>
      <c r="G237" s="23" t="inlineStr">
        <is>
          <t>Josh, a hike to the Franklin ghost town Wednesday 1-4pm with 3 other neighbors. It's a nearby trail, so no long drive. Free. Want in?</t>
        </is>
      </c>
      <c r="H237" s="23" t="inlineStr">
        <is>
          <t>nothing in the profile conflicts with it</t>
        </is>
      </c>
      <c r="I237" s="24" t="inlineStr">
        <is>
          <t>YES</t>
        </is>
      </c>
      <c r="J237" s="23" t="inlineStr">
        <is>
          <t>-</t>
        </is>
      </c>
      <c r="K237" s="23" t="inlineStr">
        <is>
          <t>Wednesday 1-4pm works great for Josh — free, nearby, and hiking is right up his alley. Count him in!</t>
        </is>
      </c>
      <c r="L237" s="24" t="inlineStr">
        <is>
          <t>Yes</t>
        </is>
      </c>
      <c r="M237" s="25" t="n"/>
      <c r="N237" s="26" t="inlineStr">
        <is>
          <t>#149 ask, #150 call, #154 reply</t>
        </is>
      </c>
    </row>
    <row r="238" ht="55" customHeight="1">
      <c r="A238" s="23" t="inlineStr">
        <is>
          <t>P2 2026-10-31/g1</t>
        </is>
      </c>
      <c r="B238" s="23" t="inlineStr">
        <is>
          <t>P2</t>
        </is>
      </c>
      <c r="C238" s="23" t="inlineStr">
        <is>
          <t>Franklin ghost town hike</t>
        </is>
      </c>
      <c r="D238" s="23" t="inlineStr">
        <is>
          <t>e143 Carlos T.</t>
        </is>
      </c>
      <c r="E238" s="24" t="n">
        <v>1</v>
      </c>
      <c r="F238" s="23" t="inlineStr">
        <is>
          <t>1pm-3:30pm</t>
        </is>
      </c>
      <c r="G238" s="23" t="inlineStr">
        <is>
          <t>Carlos, how about the Franklin ghost town hike this Saturday, 1-3:30pm, starting from the trail on Green River Gorge Rd? It's free, and you'd go with 4 other neighbors. It mixes the hiking and local history you enjoy, and the afternoon start means no early alarm.</t>
        </is>
      </c>
      <c r="H238" s="23" t="inlineStr">
        <is>
          <t>nothing in the profile conflicts with it</t>
        </is>
      </c>
      <c r="I238" s="24" t="inlineStr">
        <is>
          <t>YES</t>
        </is>
      </c>
      <c r="J238" s="23" t="inlineStr">
        <is>
          <t>-</t>
        </is>
      </c>
      <c r="K238" s="23" t="inlineStr">
        <is>
          <t>This sounds great - Saturday afternoon works perfectly for Carlos, and combining hiking with ghost town history is right up his alley. Count him in.</t>
        </is>
      </c>
      <c r="L238" s="24" t="inlineStr">
        <is>
          <t>Yes</t>
        </is>
      </c>
      <c r="M238" s="25" t="n"/>
      <c r="N238" s="26" t="inlineStr">
        <is>
          <t>#206 ask, #207 call, #214 reply</t>
        </is>
      </c>
    </row>
    <row r="239" ht="55" customHeight="1">
      <c r="A239" s="23" t="inlineStr">
        <is>
          <t>P2 2026-10-31/g1</t>
        </is>
      </c>
      <c r="B239" s="23" t="inlineStr">
        <is>
          <t>P2</t>
        </is>
      </c>
      <c r="C239" s="23" t="inlineStr">
        <is>
          <t>Franklin ghost town hike</t>
        </is>
      </c>
      <c r="D239" s="23" t="inlineStr">
        <is>
          <t>e055 Ryan M.</t>
        </is>
      </c>
      <c r="E239" s="24" t="n">
        <v>1</v>
      </c>
      <c r="F239" s="23" t="inlineStr">
        <is>
          <t>1pm-3:30pm</t>
        </is>
      </c>
      <c r="G239" s="23" t="inlineStr">
        <is>
          <t>Ryan, would you like to explore the Franklin ghost town this Saturday, 1-3:30pm, from the trail on Green River Gorge Rd? It's free, with 4 other neighbors. It's the old coal-town history you love, and the group includes others who are keen on the past.</t>
        </is>
      </c>
      <c r="H239" s="23" t="inlineStr">
        <is>
          <t>nothing in the profile conflicts with it</t>
        </is>
      </c>
      <c r="I239" s="24" t="inlineStr">
        <is>
          <t>YES</t>
        </is>
      </c>
      <c r="J239" s="23" t="inlineStr">
        <is>
          <t>-</t>
        </is>
      </c>
      <c r="K239" s="23" t="inlineStr">
        <is>
          <t>This sounds great - Ryan loves history and this free ghost town hike fits his Saturday afternoon perfectly. He's happy to join the group.</t>
        </is>
      </c>
      <c r="L239" s="24" t="inlineStr">
        <is>
          <t>Yes</t>
        </is>
      </c>
      <c r="M239" s="25" t="n"/>
      <c r="N239" s="26" t="inlineStr">
        <is>
          <t>#208 ask, #209 call, #229 reply</t>
        </is>
      </c>
    </row>
    <row r="240" ht="55" customHeight="1">
      <c r="A240" s="23" t="inlineStr">
        <is>
          <t>P2 2026-10-31/g1</t>
        </is>
      </c>
      <c r="B240" s="23" t="inlineStr">
        <is>
          <t>P2</t>
        </is>
      </c>
      <c r="C240" s="23" t="inlineStr">
        <is>
          <t>Franklin ghost town hike</t>
        </is>
      </c>
      <c r="D240" s="23" t="inlineStr">
        <is>
          <t>e038 Ron B.</t>
        </is>
      </c>
      <c r="E240" s="24" t="n">
        <v>1</v>
      </c>
      <c r="F240" s="23" t="inlineStr">
        <is>
          <t>1pm-3:30pm</t>
        </is>
      </c>
      <c r="G240" s="23" t="inlineStr">
        <is>
          <t>Ron, there's a Franklin ghost town hike this Saturday, 1-3:30pm, from the trail on Green River Gorge Rd. It's free, with 4 other neighbors. The old ruins and gorge views are great for photography, and it's a relaxed, sociable group.</t>
        </is>
      </c>
      <c r="H240" s="23" t="inlineStr">
        <is>
          <t>nothing in the profile conflicts with it</t>
        </is>
      </c>
      <c r="I240" s="24" t="inlineStr">
        <is>
          <t>YES</t>
        </is>
      </c>
      <c r="J240" s="23" t="inlineStr">
        <is>
          <t>-</t>
        </is>
      </c>
      <c r="K240" s="23" t="inlineStr">
        <is>
          <t>Saturday afternoon works great for Ron, and a photography-friendly hike with neighbors sounds like a fun, relaxed time. Count him in!</t>
        </is>
      </c>
      <c r="L240" s="24" t="inlineStr">
        <is>
          <t>Yes</t>
        </is>
      </c>
      <c r="M240" s="25" t="n"/>
      <c r="N240" s="26" t="inlineStr">
        <is>
          <t>#210 ask, #211 call, #219 reply</t>
        </is>
      </c>
    </row>
    <row r="241" ht="55" customHeight="1">
      <c r="A241" s="23" t="inlineStr">
        <is>
          <t>P2 2026-10-31/g1</t>
        </is>
      </c>
      <c r="B241" s="23" t="inlineStr">
        <is>
          <t>P2</t>
        </is>
      </c>
      <c r="C241" s="23" t="inlineStr">
        <is>
          <t>Franklin ghost town hike</t>
        </is>
      </c>
      <c r="D241" s="23" t="inlineStr">
        <is>
          <t>e124 Wei T.</t>
        </is>
      </c>
      <c r="E241" s="24" t="n">
        <v>1</v>
      </c>
      <c r="F241" s="23" t="inlineStr">
        <is>
          <t>1pm-3:30pm</t>
        </is>
      </c>
      <c r="G241" s="23" t="inlineStr">
        <is>
          <t>Wei, how about the Franklin ghost town hike this Saturday, 1-3:30pm, on Green River Gorge Rd? It's free, with 4 other neighbors. It pairs hiking with plenty to photograph, and it's a small, calm group rather than a crowd.</t>
        </is>
      </c>
      <c r="H241" s="23" t="inlineStr">
        <is>
          <t>nothing in the profile conflicts with it</t>
        </is>
      </c>
      <c r="I241" s="24" t="inlineStr">
        <is>
          <t>YES</t>
        </is>
      </c>
      <c r="J241" s="23" t="inlineStr">
        <is>
          <t>-</t>
        </is>
      </c>
      <c r="K241" s="23" t="inlineStr">
        <is>
          <t>Saturday 1-3:30pm works great for Wei - free, hiking, and photo opportunities tick all the boxes, and a small group of 4 neighbors feels calm rather than crowded. Count Wei in!</t>
        </is>
      </c>
      <c r="L241" s="24" t="inlineStr">
        <is>
          <t>Yes</t>
        </is>
      </c>
      <c r="M241" s="25" t="n"/>
      <c r="N241" s="26" t="inlineStr">
        <is>
          <t>#212 ask, #213 call, #224 reply</t>
        </is>
      </c>
    </row>
    <row r="242" ht="55" customHeight="1">
      <c r="A242" s="23" t="inlineStr">
        <is>
          <t>P2 2026-10-31/g1</t>
        </is>
      </c>
      <c r="B242" s="23" t="inlineStr">
        <is>
          <t>P2</t>
        </is>
      </c>
      <c r="C242" s="23" t="inlineStr">
        <is>
          <t>Franklin ghost town hike</t>
        </is>
      </c>
      <c r="D242" s="23" t="inlineStr">
        <is>
          <t>e041 Imani O.</t>
        </is>
      </c>
      <c r="E242" s="24" t="n">
        <v>1</v>
      </c>
      <c r="F242" s="23" t="inlineStr">
        <is>
          <t>1pm-3:30pm</t>
        </is>
      </c>
      <c r="G242" s="23" t="inlineStr">
        <is>
          <t>Imani, would you join a Franklin ghost town hike this Saturday, 1-3:30pm, from the trail on Green River Gorge Rd? It's free, with 4 other neighbors. It's a good afternoon hike in a small group, and one other member is a parent at home too.</t>
        </is>
      </c>
      <c r="H242" s="23" t="inlineStr">
        <is>
          <t>nothing in the profile conflicts with it</t>
        </is>
      </c>
      <c r="I242" s="24" t="inlineStr">
        <is>
          <t>YES</t>
        </is>
      </c>
      <c r="J242" s="23" t="inlineStr">
        <is>
          <t>-</t>
        </is>
      </c>
      <c r="K242" s="23" t="inlineStr">
        <is>
          <t>Saturday 1-3:30pm works great for Imani — she loves hiking, it's free, and it's a short local trail, not a long drive. Count her in!</t>
        </is>
      </c>
      <c r="L242" s="24" t="inlineStr">
        <is>
          <t>Yes</t>
        </is>
      </c>
      <c r="M242" s="25" t="n"/>
      <c r="N242" s="26" t="inlineStr">
        <is>
          <t>#217 ask, #218 call, #254 reply</t>
        </is>
      </c>
    </row>
    <row r="243" ht="42" customHeight="1">
      <c r="A243" s="23" t="inlineStr">
        <is>
          <t>P2 2026-10-31/g2</t>
        </is>
      </c>
      <c r="B243" s="23" t="inlineStr">
        <is>
          <t>P2</t>
        </is>
      </c>
      <c r="C243" s="23" t="inlineStr">
        <is>
          <t>Easy 5K together</t>
        </is>
      </c>
      <c r="D243" s="23" t="inlineStr">
        <is>
          <t>e088 Hannah R.</t>
        </is>
      </c>
      <c r="E243" s="24" t="n">
        <v>1</v>
      </c>
      <c r="F243" s="23" t="inlineStr">
        <is>
          <t>9am-10am</t>
        </is>
      </c>
      <c r="G243" s="23" t="inlineStr">
        <is>
          <t>Hannah, fancy an easy 5K this Saturday, 9-10am, on the Ten Trails network? It's free, with 3 other neighbors who love running. It's a relaxed pace with time to chat afterward.</t>
        </is>
      </c>
      <c r="H243" s="23" t="inlineStr">
        <is>
          <t>nothing in the profile conflicts with it</t>
        </is>
      </c>
      <c r="I243" s="24" t="inlineStr">
        <is>
          <t>YES</t>
        </is>
      </c>
      <c r="J243" s="23" t="inlineStr">
        <is>
          <t>-</t>
        </is>
      </c>
      <c r="K243" s="23" t="inlineStr">
        <is>
          <t>This works great for Hannah — Saturday morning is free, she loves running, and a relaxed 5K with neighbors sounds perfect. Count her in!</t>
        </is>
      </c>
      <c r="L243" s="24" t="inlineStr">
        <is>
          <t>Yes</t>
        </is>
      </c>
      <c r="M243" s="25" t="n"/>
      <c r="N243" s="26" t="inlineStr">
        <is>
          <t>#222 ask, #223 call, #239 reply</t>
        </is>
      </c>
    </row>
    <row r="244" ht="42" customHeight="1">
      <c r="A244" s="23" t="inlineStr">
        <is>
          <t>P2 2026-10-31/g2</t>
        </is>
      </c>
      <c r="B244" s="23" t="inlineStr">
        <is>
          <t>P2</t>
        </is>
      </c>
      <c r="C244" s="23" t="inlineStr">
        <is>
          <t>Easy 5K together</t>
        </is>
      </c>
      <c r="D244" s="23" t="inlineStr">
        <is>
          <t>e170 Kavya T.</t>
        </is>
      </c>
      <c r="E244" s="24" t="n">
        <v>1</v>
      </c>
      <c r="F244" s="23" t="inlineStr">
        <is>
          <t>9am-10am</t>
        </is>
      </c>
      <c r="G244" s="23" t="inlineStr">
        <is>
          <t>Kavya, how about an easy 5K this Saturday, 9-10am, on the Ten Trails paths? It's free, with 3 other runners. It's a friendly way to start the weekend and meet neighbors.</t>
        </is>
      </c>
      <c r="H244" s="23" t="inlineStr">
        <is>
          <t>nothing in the profile conflicts with it</t>
        </is>
      </c>
      <c r="I244" s="24" t="inlineStr">
        <is>
          <t>YES</t>
        </is>
      </c>
      <c r="J244" s="23" t="inlineStr">
        <is>
          <t>-</t>
        </is>
      </c>
      <c r="K244" s="23" t="inlineStr">
        <is>
          <t>Saturday morning works great for Kavya, and an easy 5K at Ten Trails with neighbors fits her love of running perfectly and it's free. Count her in!</t>
        </is>
      </c>
      <c r="L244" s="24" t="inlineStr">
        <is>
          <t>Yes</t>
        </is>
      </c>
      <c r="M244" s="25" t="n"/>
      <c r="N244" s="26" t="inlineStr">
        <is>
          <t>#227 ask, #228 call, #234 reply</t>
        </is>
      </c>
    </row>
    <row r="245" ht="42" customHeight="1">
      <c r="A245" s="23" t="inlineStr">
        <is>
          <t>P2 2026-10-31/g2</t>
        </is>
      </c>
      <c r="B245" s="23" t="inlineStr">
        <is>
          <t>P2</t>
        </is>
      </c>
      <c r="C245" s="23" t="inlineStr">
        <is>
          <t>Easy 5K together</t>
        </is>
      </c>
      <c r="D245" s="23" t="inlineStr">
        <is>
          <t>e078 Kevin N.</t>
        </is>
      </c>
      <c r="E245" s="24" t="n">
        <v>1</v>
      </c>
      <c r="F245" s="23" t="inlineStr">
        <is>
          <t>9am-10am</t>
        </is>
      </c>
      <c r="G245" s="23" t="inlineStr">
        <is>
          <t>Kevin, want to join an easy group 5K this Saturday, 9-10am, at Ten Trails? It's free and close to home, with 3 other neighbors who run. It's a nice social run.</t>
        </is>
      </c>
      <c r="H245" s="23" t="inlineStr">
        <is>
          <t>nothing in the profile conflicts with it</t>
        </is>
      </c>
      <c r="I245" s="24" t="inlineStr">
        <is>
          <t>YES</t>
        </is>
      </c>
      <c r="J245" s="23" t="inlineStr">
        <is>
          <t>-</t>
        </is>
      </c>
      <c r="K245" s="23" t="inlineStr">
        <is>
          <t>Saturday 9-10am works great for Kevin, and he really likes running — a free group 5K at Ten Trails sounds perfect. Count him in!</t>
        </is>
      </c>
      <c r="L245" s="24" t="inlineStr">
        <is>
          <t>Yes</t>
        </is>
      </c>
      <c r="M245" s="25" t="n"/>
      <c r="N245" s="26" t="inlineStr">
        <is>
          <t>#232 ask, #233 call, #244 reply</t>
        </is>
      </c>
    </row>
    <row r="246" ht="42" customHeight="1">
      <c r="A246" s="23" t="inlineStr">
        <is>
          <t>P2 2026-10-31/g2</t>
        </is>
      </c>
      <c r="B246" s="23" t="inlineStr">
        <is>
          <t>P2</t>
        </is>
      </c>
      <c r="C246" s="23" t="inlineStr">
        <is>
          <t>Easy 5K together</t>
        </is>
      </c>
      <c r="D246" s="23" t="inlineStr">
        <is>
          <t>e043 Quinn J.</t>
        </is>
      </c>
      <c r="E246" s="24" t="n">
        <v>1</v>
      </c>
      <c r="F246" s="23" t="inlineStr">
        <is>
          <t>9am-10am</t>
        </is>
      </c>
      <c r="G246" s="23" t="inlineStr">
        <is>
          <t>Quinn, there's a free, easy 5K this Saturday, 9-10am, on the Ten Trails network, with 3 other neighbors. It's good running company and costs nothing.</t>
        </is>
      </c>
      <c r="H246" s="23" t="inlineStr">
        <is>
          <t>nothing in the profile conflicts with it</t>
        </is>
      </c>
      <c r="I246" s="24" t="inlineStr">
        <is>
          <t>YES</t>
        </is>
      </c>
      <c r="J246" s="23" t="inlineStr">
        <is>
          <t>-</t>
        </is>
      </c>
      <c r="K246" s="23" t="inlineStr">
        <is>
          <t>Saturday morning works great for Quinn, and a free group 5K run fits right in with their love of running and pickleball-level activity. Count Quinn in!</t>
        </is>
      </c>
      <c r="L246" s="24" t="inlineStr">
        <is>
          <t>Yes</t>
        </is>
      </c>
      <c r="M246" s="25" t="n"/>
      <c r="N246" s="26" t="inlineStr">
        <is>
          <t>#237 ask, #238 call, #259 reply</t>
        </is>
      </c>
    </row>
    <row r="247" ht="42" customHeight="1">
      <c r="A247" s="23" t="inlineStr">
        <is>
          <t>P2 2026-10-31/g3</t>
        </is>
      </c>
      <c r="B247" s="23" t="inlineStr">
        <is>
          <t>P2</t>
        </is>
      </c>
      <c r="C247" s="23" t="inlineStr">
        <is>
          <t>Pints at Lumber House</t>
        </is>
      </c>
      <c r="D247" s="23" t="inlineStr">
        <is>
          <t>e123 Rachel P.</t>
        </is>
      </c>
      <c r="E247" s="24" t="n">
        <v>1</v>
      </c>
      <c r="F247" s="23" t="inlineStr">
        <is>
          <t>3pm-5pm</t>
        </is>
      </c>
      <c r="G247" s="23" t="inlineStr">
        <is>
          <t>Rachel, how about pints at Lumber House brewery this Saturday, 3-5pm? It's low cost and close by, with 2 other neighbors. It's a relaxed afternoon for craft beer lovers.</t>
        </is>
      </c>
      <c r="H247" s="23" t="inlineStr">
        <is>
          <t>nothing in the profile conflicts with it</t>
        </is>
      </c>
      <c r="I247" s="24" t="inlineStr">
        <is>
          <t>YES</t>
        </is>
      </c>
      <c r="J247" s="23" t="inlineStr">
        <is>
          <t>-</t>
        </is>
      </c>
      <c r="K247" s="23" t="inlineStr">
        <is>
          <t>This fits perfectly—Rachel loves craft beer, is free Saturday afternoon, and low cost works great within her budget. Count her in!</t>
        </is>
      </c>
      <c r="L247" s="24" t="inlineStr">
        <is>
          <t>Yes</t>
        </is>
      </c>
      <c r="M247" s="25" t="n"/>
      <c r="N247" s="26" t="inlineStr">
        <is>
          <t>#242 ask, #243 call, #249 reply</t>
        </is>
      </c>
    </row>
    <row r="248" ht="42" customHeight="1">
      <c r="A248" s="23" t="inlineStr">
        <is>
          <t>P2 2026-10-31/g3</t>
        </is>
      </c>
      <c r="B248" s="23" t="inlineStr">
        <is>
          <t>P2</t>
        </is>
      </c>
      <c r="C248" s="23" t="inlineStr">
        <is>
          <t>Pints at Lumber House</t>
        </is>
      </c>
      <c r="D248" s="23" t="inlineStr">
        <is>
          <t>e075 Rosa G.</t>
        </is>
      </c>
      <c r="E248" s="24" t="n">
        <v>1</v>
      </c>
      <c r="F248" s="23" t="inlineStr">
        <is>
          <t>3pm-5pm</t>
        </is>
      </c>
      <c r="G248" s="23" t="inlineStr">
        <is>
          <t>Rosa, would you like pints at Lumber House brewery this Saturday, 3-5pm? It's low cost, with 2 other neighbors who are into craft beer. It's an easy, sociable afternoon.</t>
        </is>
      </c>
      <c r="H248" s="23" t="inlineStr">
        <is>
          <t>nothing in the profile conflicts with it</t>
        </is>
      </c>
      <c r="I248" s="24" t="inlineStr">
        <is>
          <t>YES</t>
        </is>
      </c>
      <c r="J248" s="23" t="inlineStr">
        <is>
          <t>-</t>
        </is>
      </c>
      <c r="K248" s="23" t="inlineStr">
        <is>
          <t>Rosa's free Saturday afternoon and loves craft beer, so pints at Lumber House with neighbors sounds great — count her in!</t>
        </is>
      </c>
      <c r="L248" s="24" t="inlineStr">
        <is>
          <t>Yes</t>
        </is>
      </c>
      <c r="M248" s="25" t="n"/>
      <c r="N248" s="26" t="inlineStr">
        <is>
          <t>#247 ask, #248 call, #264 reply</t>
        </is>
      </c>
    </row>
    <row r="249" ht="42" customHeight="1">
      <c r="A249" s="23" t="inlineStr">
        <is>
          <t>P2 2026-10-31/g3</t>
        </is>
      </c>
      <c r="B249" s="23" t="inlineStr">
        <is>
          <t>P2</t>
        </is>
      </c>
      <c r="C249" s="23" t="inlineStr">
        <is>
          <t>Pints at Lumber House</t>
        </is>
      </c>
      <c r="D249" s="23" t="inlineStr">
        <is>
          <t>e167 Heather P.</t>
        </is>
      </c>
      <c r="E249" s="24" t="n">
        <v>1</v>
      </c>
      <c r="F249" s="23" t="inlineStr">
        <is>
          <t>3pm-5pm</t>
        </is>
      </c>
      <c r="G249" s="23" t="inlineStr">
        <is>
          <t>Heather, fancy pints at Lumber House this Saturday, 3-5pm? It's low cost, with 2 other neighbors who enjoy craft beer. It's a nearby afternoon with no early start.</t>
        </is>
      </c>
      <c r="H249" s="23" t="inlineStr">
        <is>
          <t>nothing in the profile conflicts with it</t>
        </is>
      </c>
      <c r="I249" s="24" t="inlineStr">
        <is>
          <t>YES</t>
        </is>
      </c>
      <c r="J249" s="23" t="inlineStr">
        <is>
          <t>-</t>
        </is>
      </c>
      <c r="K249" s="23" t="inlineStr">
        <is>
          <t>Saturday 3-5pm works great for Heather's free afternoon, and craft beer with neighbors fits her interests and budget perfectly. Count her in!</t>
        </is>
      </c>
      <c r="L249" s="24" t="inlineStr">
        <is>
          <t>Yes</t>
        </is>
      </c>
      <c r="M249" s="25" t="n"/>
      <c r="N249" s="26" t="inlineStr">
        <is>
          <t>#252 ask, #253 call, #269 reply</t>
        </is>
      </c>
    </row>
    <row r="250" ht="42" customHeight="1">
      <c r="A250" s="23" t="inlineStr">
        <is>
          <t>P2 2026-10-31/g4</t>
        </is>
      </c>
      <c r="B250" s="23" t="inlineStr">
        <is>
          <t>P2</t>
        </is>
      </c>
      <c r="C250" s="23" t="inlineStr">
        <is>
          <t>Paddle Lake Sawyer</t>
        </is>
      </c>
      <c r="D250" s="23" t="inlineStr">
        <is>
          <t>e081 Andres T.</t>
        </is>
      </c>
      <c r="E250" s="24" t="n">
        <v>1</v>
      </c>
      <c r="F250" s="23" t="inlineStr">
        <is>
          <t>12:30pm-2:30pm</t>
        </is>
      </c>
      <c r="G250" s="23" t="inlineStr">
        <is>
          <t>Andres, how about paddling Lake Sawyer this Saturday, 12:30-2:30pm, from the Regional Park boat launch? It's low cost, with 2 other neighbors who love being on the water. It's a nice afternoon out boating.</t>
        </is>
      </c>
      <c r="H250" s="23" t="inlineStr">
        <is>
          <t>nothing in the profile conflicts with it</t>
        </is>
      </c>
      <c r="I250" s="24" t="inlineStr">
        <is>
          <t>YES</t>
        </is>
      </c>
      <c r="J250" s="23" t="inlineStr">
        <is>
          <t>-</t>
        </is>
      </c>
      <c r="K250" s="23" t="inlineStr">
        <is>
          <t>Saturday 12:30-2:30pm works great for Andres—he's free that afternoon and loves boating, so paddling Lake Sawyer with neighbors sounds perfect.</t>
        </is>
      </c>
      <c r="L250" s="24" t="inlineStr">
        <is>
          <t>Yes</t>
        </is>
      </c>
      <c r="M250" s="25" t="n"/>
      <c r="N250" s="26" t="inlineStr">
        <is>
          <t>#257 ask, #258 call, #274 reply</t>
        </is>
      </c>
    </row>
    <row r="251" ht="42" customHeight="1">
      <c r="A251" s="23" t="inlineStr">
        <is>
          <t>P2 2026-10-31/g4</t>
        </is>
      </c>
      <c r="B251" s="23" t="inlineStr">
        <is>
          <t>P2</t>
        </is>
      </c>
      <c r="C251" s="23" t="inlineStr">
        <is>
          <t>Paddle Lake Sawyer</t>
        </is>
      </c>
      <c r="D251" s="23" t="inlineStr">
        <is>
          <t>e067 Donna M.</t>
        </is>
      </c>
      <c r="E251" s="24" t="n">
        <v>1</v>
      </c>
      <c r="F251" s="23" t="inlineStr">
        <is>
          <t>12:30pm-2:30pm</t>
        </is>
      </c>
      <c r="G251" s="23" t="inlineStr">
        <is>
          <t>Donna, would you like to paddle Lake Sawyer this Saturday, 12:30-2:30pm, from the Regional Park boat launch? It's low cost, with just 2 other neighbors, so no crowds. It's an easy kayaking afternoon.</t>
        </is>
      </c>
      <c r="H251" s="23" t="inlineStr">
        <is>
          <t>nothing in the profile conflicts with it</t>
        </is>
      </c>
      <c r="I251" s="24" t="inlineStr">
        <is>
          <t>YES</t>
        </is>
      </c>
      <c r="J251" s="23" t="inlineStr">
        <is>
          <t>-</t>
        </is>
      </c>
      <c r="K251" s="23" t="inlineStr">
        <is>
          <t>Donna's free Saturday afternoon and loves kayaking, and a small group of just 2 neighbors keeps it well within her crowd comfort. This sounds like a great fit - count her in for Lake Sawyer!</t>
        </is>
      </c>
      <c r="L251" s="24" t="inlineStr">
        <is>
          <t>Yes</t>
        </is>
      </c>
      <c r="M251" s="25" t="n"/>
      <c r="N251" s="26" t="inlineStr">
        <is>
          <t>#262 ask, #263 call, #279 reply</t>
        </is>
      </c>
    </row>
    <row r="252" ht="42" customHeight="1">
      <c r="A252" s="23" t="inlineStr">
        <is>
          <t>P2 2026-10-31/g4</t>
        </is>
      </c>
      <c r="B252" s="23" t="inlineStr">
        <is>
          <t>P2</t>
        </is>
      </c>
      <c r="C252" s="23" t="inlineStr">
        <is>
          <t>Paddle Lake Sawyer</t>
        </is>
      </c>
      <c r="D252" s="23" t="inlineStr">
        <is>
          <t>e049 Lauren P.</t>
        </is>
      </c>
      <c r="E252" s="24" t="n">
        <v>1</v>
      </c>
      <c r="F252" s="23" t="inlineStr">
        <is>
          <t>12:30pm-2:30pm</t>
        </is>
      </c>
      <c r="G252" s="23" t="inlineStr">
        <is>
          <t>Lauren, fancy a kayak on Lake Sawyer this Saturday, 12:30-2:30pm, from the Regional Park boat launch? It's low cost, with 2 other neighbors who love paddling.</t>
        </is>
      </c>
      <c r="H252" s="23" t="inlineStr">
        <is>
          <t>nothing in the profile conflicts with it</t>
        </is>
      </c>
      <c r="I252" s="24" t="inlineStr">
        <is>
          <t>YES</t>
        </is>
      </c>
      <c r="J252" s="23" t="inlineStr">
        <is>
          <t>-</t>
        </is>
      </c>
      <c r="K252" s="23" t="inlineStr">
        <is>
          <t>This is a great fit for Lauren—kayaking is one of her favorite activities, Saturday afternoon is free, and the low cost works with her budget. She'd love to join!</t>
        </is>
      </c>
      <c r="L252" s="24" t="inlineStr">
        <is>
          <t>Yes</t>
        </is>
      </c>
      <c r="M252" s="25" t="n"/>
      <c r="N252" s="26" t="inlineStr">
        <is>
          <t>#267 ask, #268 call, #289 reply</t>
        </is>
      </c>
    </row>
    <row r="253" ht="42" customHeight="1">
      <c r="A253" s="23" t="inlineStr">
        <is>
          <t>P2 2026-10-31/g5</t>
        </is>
      </c>
      <c r="B253" s="23" t="inlineStr">
        <is>
          <t>P2</t>
        </is>
      </c>
      <c r="C253" s="23" t="inlineStr">
        <is>
          <t>Board game night</t>
        </is>
      </c>
      <c r="D253" s="23" t="inlineStr">
        <is>
          <t>e133 Jack W.</t>
        </is>
      </c>
      <c r="E253" s="24" t="n">
        <v>1</v>
      </c>
      <c r="F253" s="23" t="inlineStr">
        <is>
          <t>6pm-8:30pm</t>
        </is>
      </c>
      <c r="G253" s="23" t="inlineStr">
        <is>
          <t>Jack, how about a board game and cards night this Saturday, 6-8:30pm, at a neighbor's table? It's free, with 2 other neighbors who like card games. Bring a favorite game if you like.</t>
        </is>
      </c>
      <c r="H253" s="23" t="inlineStr">
        <is>
          <t>nothing in the profile conflicts with it</t>
        </is>
      </c>
      <c r="I253" s="24" t="inlineStr">
        <is>
          <t>YES</t>
        </is>
      </c>
      <c r="J253" s="23" t="inlineStr">
        <is>
          <t>-</t>
        </is>
      </c>
      <c r="K253" s="23" t="inlineStr">
        <is>
          <t>Saturday 6-8:30pm works great for Jack—he's free that evening and loves board games and cards. Count him in!</t>
        </is>
      </c>
      <c r="L253" s="24" t="inlineStr">
        <is>
          <t>Yes</t>
        </is>
      </c>
      <c r="M253" s="25" t="n"/>
      <c r="N253" s="26" t="inlineStr">
        <is>
          <t>#272 ask, #273 call, #284 reply</t>
        </is>
      </c>
    </row>
    <row r="254" ht="42" customHeight="1">
      <c r="A254" s="23" t="inlineStr">
        <is>
          <t>P2 2026-10-31/g5</t>
        </is>
      </c>
      <c r="B254" s="23" t="inlineStr">
        <is>
          <t>P2</t>
        </is>
      </c>
      <c r="C254" s="23" t="inlineStr">
        <is>
          <t>Board game night</t>
        </is>
      </c>
      <c r="D254" s="23" t="inlineStr">
        <is>
          <t>e148 Grace C.</t>
        </is>
      </c>
      <c r="E254" s="24" t="n">
        <v>1</v>
      </c>
      <c r="F254" s="23" t="inlineStr">
        <is>
          <t>6pm-8:30pm</t>
        </is>
      </c>
      <c r="G254" s="23" t="inlineStr">
        <is>
          <t>Grace, would you join a cards and board game evening this Saturday, 6-8:30pm, at a neighbor's home? It's free, with 2 other neighbors. It's a relaxed game night that finishes early.</t>
        </is>
      </c>
      <c r="H254" s="23" t="inlineStr">
        <is>
          <t>nothing in the profile conflicts with it</t>
        </is>
      </c>
      <c r="I254" s="24" t="inlineStr">
        <is>
          <t>YES</t>
        </is>
      </c>
      <c r="J254" s="23" t="inlineStr">
        <is>
          <t>-</t>
        </is>
      </c>
      <c r="K254" s="23" t="inlineStr">
        <is>
          <t>Saturday evening works great for Grace, and cards with neighbors sounds fun and free — count her in!</t>
        </is>
      </c>
      <c r="L254" s="24" t="inlineStr">
        <is>
          <t>Yes</t>
        </is>
      </c>
      <c r="M254" s="25" t="n"/>
      <c r="N254" s="26" t="inlineStr">
        <is>
          <t>#277 ask, #278 call, #303 reply</t>
        </is>
      </c>
    </row>
    <row r="255" ht="42" customHeight="1">
      <c r="A255" s="23" t="inlineStr">
        <is>
          <t>P2 2026-10-31/g5</t>
        </is>
      </c>
      <c r="B255" s="23" t="inlineStr">
        <is>
          <t>P2</t>
        </is>
      </c>
      <c r="C255" s="23" t="inlineStr">
        <is>
          <t>Board game night</t>
        </is>
      </c>
      <c r="D255" s="23" t="inlineStr">
        <is>
          <t>e052 Ron W.</t>
        </is>
      </c>
      <c r="E255" s="24" t="n">
        <v>1</v>
      </c>
      <c r="F255" s="23" t="inlineStr">
        <is>
          <t>6pm-8:30pm</t>
        </is>
      </c>
      <c r="G255" s="23" t="inlineStr">
        <is>
          <t>Ron, fancy a card game night this Saturday, 6-8:30pm, at a neighbor's table? It's free, with 2 other neighbors. It's friendly and casual, not competitive, and done by 8:30.</t>
        </is>
      </c>
      <c r="H255" s="23" t="inlineStr">
        <is>
          <t>nothing in the profile conflicts with it</t>
        </is>
      </c>
      <c r="I255" s="24" t="inlineStr">
        <is>
          <t>YES</t>
        </is>
      </c>
      <c r="J255" s="23" t="inlineStr">
        <is>
          <t>-</t>
        </is>
      </c>
      <c r="K255" s="23" t="inlineStr">
        <is>
          <t>Ron's free Saturday evening and loves cards, plus it's casual (not competitive) and wraps up by 8:30, well before late night - sounds great, count him in!</t>
        </is>
      </c>
      <c r="L255" s="24" t="inlineStr">
        <is>
          <t>Yes</t>
        </is>
      </c>
      <c r="M255" s="25" t="n"/>
      <c r="N255" s="26" t="inlineStr">
        <is>
          <t>#282 ask, #283 call, #294 reply</t>
        </is>
      </c>
    </row>
    <row r="256" ht="42" customHeight="1">
      <c r="A256" s="23" t="inlineStr">
        <is>
          <t>P2 2026-10-31/g6</t>
        </is>
      </c>
      <c r="B256" s="23" t="inlineStr">
        <is>
          <t>P2</t>
        </is>
      </c>
      <c r="C256" s="23" t="inlineStr">
        <is>
          <t>Evening walk on the Ten Trails paths</t>
        </is>
      </c>
      <c r="D256" s="23" t="inlineStr">
        <is>
          <t>e082 Isabel G.</t>
        </is>
      </c>
      <c r="E256" s="24" t="n">
        <v>1</v>
      </c>
      <c r="F256" s="23" t="inlineStr">
        <is>
          <t>5:30pm-7pm</t>
        </is>
      </c>
      <c r="G256" s="23" t="inlineStr">
        <is>
          <t>Isabel, how about an evening walk on the Ten Trails paths this Saturday, 5:30-7pm? It's free, with 1 other neighbor who loves hiking. It's a calm, uncrowded loop, and your dog is welcome.</t>
        </is>
      </c>
      <c r="H256" s="23" t="inlineStr">
        <is>
          <t>nothing in the profile conflicts with it</t>
        </is>
      </c>
      <c r="I256" s="24" t="inlineStr">
        <is>
          <t>YES</t>
        </is>
      </c>
      <c r="J256" s="23" t="inlineStr">
        <is>
          <t>-</t>
        </is>
      </c>
      <c r="K256" s="23" t="inlineStr">
        <is>
          <t>Saturday evening works great for Isabel — free, small uncrowded group, dog-friendly hiking-style walk fits her likes perfectly. Let's book it!</t>
        </is>
      </c>
      <c r="L256" s="24" t="inlineStr">
        <is>
          <t>Yes</t>
        </is>
      </c>
      <c r="M256" s="25" t="n"/>
      <c r="N256" s="26" t="inlineStr">
        <is>
          <t>#287 ask, #288 call, #297 reply</t>
        </is>
      </c>
    </row>
    <row r="257" ht="42" customHeight="1">
      <c r="A257" s="23" t="inlineStr">
        <is>
          <t>P2 2026-10-31/g6</t>
        </is>
      </c>
      <c r="B257" s="23" t="inlineStr">
        <is>
          <t>P2</t>
        </is>
      </c>
      <c r="C257" s="23" t="inlineStr">
        <is>
          <t>Evening walk on the Ten Trails paths</t>
        </is>
      </c>
      <c r="D257" s="23" t="inlineStr">
        <is>
          <t>e105 Josh L.</t>
        </is>
      </c>
      <c r="E257" s="24" t="n">
        <v>1</v>
      </c>
      <c r="F257" s="23" t="inlineStr">
        <is>
          <t>5:30pm-7pm</t>
        </is>
      </c>
      <c r="G257" s="23" t="inlineStr">
        <is>
          <t>Josh, would you like an evening walk on the Ten Trails network this Saturday, 5:30-7pm? It's free and close to home, with 1 other neighbor who's keen on hiking.</t>
        </is>
      </c>
      <c r="H257" s="23" t="inlineStr">
        <is>
          <t>nothing in the profile conflicts with it</t>
        </is>
      </c>
      <c r="I257" s="24" t="inlineStr">
        <is>
          <t>YES</t>
        </is>
      </c>
      <c r="J257" s="23" t="inlineStr">
        <is>
          <t>-</t>
        </is>
      </c>
      <c r="K257" s="23" t="inlineStr">
        <is>
          <t>Saturday evening works great for Josh, and a free walk at Ten Trails fits his love of hiking perfectly. Count him in!</t>
        </is>
      </c>
      <c r="L257" s="24" t="inlineStr">
        <is>
          <t>Yes</t>
        </is>
      </c>
      <c r="M257" s="25" t="n"/>
      <c r="N257" s="26" t="inlineStr">
        <is>
          <t>#292 ask, #293 call, #300 reply</t>
        </is>
      </c>
    </row>
    <row r="258" ht="42" customHeight="1">
      <c r="A258" s="23" t="inlineStr">
        <is>
          <t>T2 2026-10-31/g1</t>
        </is>
      </c>
      <c r="B258" s="23" t="inlineStr">
        <is>
          <t>T2</t>
        </is>
      </c>
      <c r="C258" s="23" t="inlineStr">
        <is>
          <t>Franklin ghost town hike</t>
        </is>
      </c>
      <c r="D258" s="23" t="inlineStr">
        <is>
          <t>e020 Imani M.</t>
        </is>
      </c>
      <c r="E258" s="24" t="n">
        <v>1</v>
      </c>
      <c r="F258" s="23" t="inlineStr">
        <is>
          <t>1pm-4pm</t>
        </is>
      </c>
      <c r="G258" s="23" t="inlineStr">
        <is>
          <t>Saturday 1-4pm: a quiet hike to the Franklin ghost town off Green River Gorge Rd, with 3 neighbors who are also into local history. It's free, close by and calm, a good fit for your love of hiking and history.</t>
        </is>
      </c>
      <c r="H258" s="23" t="inlineStr">
        <is>
          <t>nothing in the profile conflicts with it</t>
        </is>
      </c>
      <c r="I258" s="24" t="inlineStr">
        <is>
          <t>YES</t>
        </is>
      </c>
      <c r="J258" s="23" t="inlineStr">
        <is>
          <t>-</t>
        </is>
      </c>
      <c r="K258" s="23" t="inlineStr">
        <is>
          <t>Saturday 1-4pm works great for Imani — free, calm, combines hiking and history, and fits her open afternoon. Count her in!</t>
        </is>
      </c>
      <c r="L258" s="24" t="inlineStr">
        <is>
          <t>Yes</t>
        </is>
      </c>
      <c r="M258" s="25" t="n"/>
      <c r="N258" s="26" t="inlineStr">
        <is>
          <t>#226 ask, #227 call, #239 reply</t>
        </is>
      </c>
    </row>
    <row r="259" ht="42" customHeight="1">
      <c r="A259" s="23" t="inlineStr">
        <is>
          <t>T2 2026-10-31/g1</t>
        </is>
      </c>
      <c r="B259" s="23" t="inlineStr">
        <is>
          <t>T2</t>
        </is>
      </c>
      <c r="C259" s="23" t="inlineStr">
        <is>
          <t>Franklin ghost town hike</t>
        </is>
      </c>
      <c r="D259" s="23" t="inlineStr">
        <is>
          <t>e143 Carlos T.</t>
        </is>
      </c>
      <c r="E259" s="24" t="n">
        <v>1</v>
      </c>
      <c r="F259" s="23" t="inlineStr">
        <is>
          <t>1pm-4pm</t>
        </is>
      </c>
      <c r="G259" s="23" t="inlineStr">
        <is>
          <t>Saturday 1-4pm (no early start): a hike to the Franklin ghost town with 3 other history-minded neighbors. It's a peaceful trail with old mining ruins, so you get both hiking and history.</t>
        </is>
      </c>
      <c r="H259" s="23" t="inlineStr">
        <is>
          <t>nothing in the profile conflicts with it</t>
        </is>
      </c>
      <c r="I259" s="24" t="inlineStr">
        <is>
          <t>YES</t>
        </is>
      </c>
      <c r="J259" s="23" t="inlineStr">
        <is>
          <t>-</t>
        </is>
      </c>
      <c r="K259" s="23" t="inlineStr">
        <is>
          <t>This fits well — Saturday afternoon is open, it's a hike with history woven in, and it's free. Carlos is happy to join the neighbors for the Franklin ghost town hike.</t>
        </is>
      </c>
      <c r="L259" s="24" t="inlineStr">
        <is>
          <t>Yes</t>
        </is>
      </c>
      <c r="M259" s="25" t="n"/>
      <c r="N259" s="26" t="inlineStr">
        <is>
          <t>#228 ask, #229 call, #249 reply</t>
        </is>
      </c>
    </row>
    <row r="260" ht="42" customHeight="1">
      <c r="A260" s="23" t="inlineStr">
        <is>
          <t>T2 2026-10-31/g1</t>
        </is>
      </c>
      <c r="B260" s="23" t="inlineStr">
        <is>
          <t>T2</t>
        </is>
      </c>
      <c r="C260" s="23" t="inlineStr">
        <is>
          <t>Franklin ghost town hike</t>
        </is>
      </c>
      <c r="D260" s="23" t="inlineStr">
        <is>
          <t>e184 Mateo R.</t>
        </is>
      </c>
      <c r="E260" s="24" t="n">
        <v>1</v>
      </c>
      <c r="F260" s="23" t="inlineStr">
        <is>
          <t>1pm-4pm</t>
        </is>
      </c>
      <c r="G260" s="23" t="inlineStr">
        <is>
          <t>Saturday 1-4pm: hike out to the Franklin ghost town with 3 neighbors who share your interest in hiking and local history. It's free and on Green River Gorge Rd.</t>
        </is>
      </c>
      <c r="H260" s="23" t="inlineStr">
        <is>
          <t>nothing in the profile conflicts with it</t>
        </is>
      </c>
      <c r="I260" s="24" t="inlineStr">
        <is>
          <t>YES</t>
        </is>
      </c>
      <c r="J260" s="23" t="inlineStr">
        <is>
          <t>-</t>
        </is>
      </c>
      <c r="K260" s="23" t="inlineStr">
        <is>
          <t>Saturday 1-4pm works great for Mateo — he's free that afternoon and loves hiking with a dash of history. Count him in for the Franklin ghost town hike.</t>
        </is>
      </c>
      <c r="L260" s="24" t="inlineStr">
        <is>
          <t>Yes</t>
        </is>
      </c>
      <c r="M260" s="25" t="n"/>
      <c r="N260" s="26" t="inlineStr">
        <is>
          <t>#230 ask, #231 call, #244 reply</t>
        </is>
      </c>
    </row>
    <row r="261" ht="42" customHeight="1">
      <c r="A261" s="23" t="inlineStr">
        <is>
          <t>T2 2026-10-31/g1</t>
        </is>
      </c>
      <c r="B261" s="23" t="inlineStr">
        <is>
          <t>T2</t>
        </is>
      </c>
      <c r="C261" s="23" t="inlineStr">
        <is>
          <t>Franklin ghost town hike</t>
        </is>
      </c>
      <c r="D261" s="23" t="inlineStr">
        <is>
          <t>e014 Paolo P.</t>
        </is>
      </c>
      <c r="E261" s="24" t="n">
        <v>1</v>
      </c>
      <c r="F261" s="23" t="inlineStr">
        <is>
          <t>1pm-4pm</t>
        </is>
      </c>
      <c r="G261" s="23" t="inlineStr">
        <is>
          <t>Saturday 1-4pm: a free walk through the Franklin ghost town's mining history with 3 neighbors who love history too. Nothing competitive, just exploring and chatting.</t>
        </is>
      </c>
      <c r="H261" s="23" t="inlineStr">
        <is>
          <t>nothing in the profile conflicts with it</t>
        </is>
      </c>
      <c r="I261" s="24" t="inlineStr">
        <is>
          <t>YES</t>
        </is>
      </c>
      <c r="J261" s="23" t="inlineStr">
        <is>
          <t>-</t>
        </is>
      </c>
      <c r="K261" s="23" t="inlineStr">
        <is>
          <t>This fits perfectly — Saturday afternoon is free, it's history-themed, free of cost, and non-competitive. Paolo's in!</t>
        </is>
      </c>
      <c r="L261" s="24" t="inlineStr">
        <is>
          <t>Yes</t>
        </is>
      </c>
      <c r="M261" s="25" t="n"/>
      <c r="N261" s="26" t="inlineStr">
        <is>
          <t>#232 ask, #233 call, #234 reply</t>
        </is>
      </c>
    </row>
    <row r="262" ht="55" customHeight="1">
      <c r="A262" s="23" t="inlineStr">
        <is>
          <t>T2 2026-10-31/g2</t>
        </is>
      </c>
      <c r="B262" s="23" t="inlineStr">
        <is>
          <t>T2</t>
        </is>
      </c>
      <c r="C262" s="23" t="inlineStr">
        <is>
          <t>Green River Gorge hike</t>
        </is>
      </c>
      <c r="D262" s="23" t="inlineStr">
        <is>
          <t>e124 Wei T.</t>
        </is>
      </c>
      <c r="E262" s="24" t="n">
        <v>1</v>
      </c>
      <c r="F262" s="23" t="inlineStr">
        <is>
          <t>9am-11:30am</t>
        </is>
      </c>
      <c r="G262" s="23" t="inlineStr">
        <is>
          <t>Saturday 9-11:30am: a small, unhurried hike at Green River Gorge Conservation Area with 3 neighbors who also love photography. No crowds, no competition, just good views and photos.</t>
        </is>
      </c>
      <c r="H262" s="23" t="inlineStr">
        <is>
          <t>nothing in the profile conflicts with it</t>
        </is>
      </c>
      <c r="I262" s="24" t="inlineStr">
        <is>
          <t>YES</t>
        </is>
      </c>
      <c r="J262" s="23" t="inlineStr">
        <is>
          <t>-</t>
        </is>
      </c>
      <c r="K262" s="23" t="inlineStr">
        <is>
          <t>This works well for Wei — Saturday morning is free, hiking and photography are favorites, it's free, and a small unhurried group with no crowds or competition fits his preferences perfectly. Count him in!</t>
        </is>
      </c>
      <c r="L262" s="24" t="inlineStr">
        <is>
          <t>Yes</t>
        </is>
      </c>
      <c r="M262" s="25" t="n"/>
      <c r="N262" s="26" t="inlineStr">
        <is>
          <t>#237 ask, #238 call, #254 reply</t>
        </is>
      </c>
    </row>
    <row r="263" ht="42" customHeight="1">
      <c r="A263" s="23" t="inlineStr">
        <is>
          <t>T2 2026-10-31/g2</t>
        </is>
      </c>
      <c r="B263" s="23" t="inlineStr">
        <is>
          <t>T2</t>
        </is>
      </c>
      <c r="C263" s="23" t="inlineStr">
        <is>
          <t>Green River Gorge hike</t>
        </is>
      </c>
      <c r="D263" s="23" t="inlineStr">
        <is>
          <t>e104 Susan L.</t>
        </is>
      </c>
      <c r="E263" s="24" t="n">
        <v>1</v>
      </c>
      <c r="F263" s="23" t="inlineStr">
        <is>
          <t>9am-11:30am</t>
        </is>
      </c>
      <c r="G263" s="23" t="inlineStr">
        <is>
          <t>Saturday 9-11:30am: a Green River Gorge hike with 3 neighbors who enjoy hiking and taking photos along the way. It's free and makes a nice morning out.</t>
        </is>
      </c>
      <c r="H263" s="23" t="inlineStr">
        <is>
          <t>nothing in the profile conflicts with it</t>
        </is>
      </c>
      <c r="I263" s="24" t="inlineStr">
        <is>
          <t>YES</t>
        </is>
      </c>
      <c r="J263" s="23" t="inlineStr">
        <is>
          <t>-</t>
        </is>
      </c>
      <c r="K263" s="23" t="inlineStr">
        <is>
          <t>Saturday morning works great for Susan—she's free then, loves hiking, and enjoys photography too, plus it's free. Count her in!</t>
        </is>
      </c>
      <c r="L263" s="24" t="inlineStr">
        <is>
          <t>Yes</t>
        </is>
      </c>
      <c r="M263" s="25" t="n"/>
      <c r="N263" s="26" t="inlineStr">
        <is>
          <t>#242 ask, #243 call, #259 reply</t>
        </is>
      </c>
    </row>
    <row r="264" ht="42" customHeight="1">
      <c r="A264" s="23" t="inlineStr">
        <is>
          <t>T2 2026-10-31/g2</t>
        </is>
      </c>
      <c r="B264" s="23" t="inlineStr">
        <is>
          <t>T2</t>
        </is>
      </c>
      <c r="C264" s="23" t="inlineStr">
        <is>
          <t>Green River Gorge hike</t>
        </is>
      </c>
      <c r="D264" s="23" t="inlineStr">
        <is>
          <t>e033 Angelica P.</t>
        </is>
      </c>
      <c r="E264" s="24" t="n">
        <v>1</v>
      </c>
      <c r="F264" s="23" t="inlineStr">
        <is>
          <t>9am-11:30am</t>
        </is>
      </c>
      <c r="G264" s="23" t="inlineStr">
        <is>
          <t>Saturday 9-11:30am: hike Green River Gorge with 3 neighbors who share your interest in hiking and photography. It's free and scenic.</t>
        </is>
      </c>
      <c r="H264" s="23" t="inlineStr">
        <is>
          <t>nothing in the profile conflicts with it</t>
        </is>
      </c>
      <c r="I264" s="24" t="inlineStr">
        <is>
          <t>YES</t>
        </is>
      </c>
      <c r="J264" s="23" t="inlineStr">
        <is>
          <t>-</t>
        </is>
      </c>
      <c r="K264" s="23" t="inlineStr">
        <is>
          <t>This works great for Angelica — Saturday morning is free, hiking is one of her favorites, and the photography angle plus free cost make it an easy yes.</t>
        </is>
      </c>
      <c r="L264" s="24" t="inlineStr">
        <is>
          <t>Yes</t>
        </is>
      </c>
      <c r="M264" s="25" t="n"/>
      <c r="N264" s="26" t="inlineStr">
        <is>
          <t>#247 ask, #248 call, #264 reply</t>
        </is>
      </c>
    </row>
    <row r="265" ht="55" customHeight="1">
      <c r="A265" s="23" t="inlineStr">
        <is>
          <t>T2 2026-10-31/g2</t>
        </is>
      </c>
      <c r="B265" s="23" t="inlineStr">
        <is>
          <t>T2</t>
        </is>
      </c>
      <c r="C265" s="23" t="inlineStr">
        <is>
          <t>Green River Gorge hike</t>
        </is>
      </c>
      <c r="D265" s="23" t="inlineStr">
        <is>
          <t>e136 Aaliyah H.</t>
        </is>
      </c>
      <c r="E265" s="24" t="n">
        <v>1</v>
      </c>
      <c r="F265" s="23" t="inlineStr">
        <is>
          <t>9am-11:30am</t>
        </is>
      </c>
      <c r="G265" s="23" t="inlineStr">
        <is>
          <t>Saturday 9-11:30am: a quiet, small-group walk at Green River Gorge with 3 neighbors into photography. You might spot good fishing water too.</t>
        </is>
      </c>
      <c r="H265" s="23" t="inlineStr">
        <is>
          <t>nothing in the profile conflicts with it</t>
        </is>
      </c>
      <c r="I265" s="24" t="inlineStr">
        <is>
          <t>YES</t>
        </is>
      </c>
      <c r="J265" s="23" t="inlineStr">
        <is>
          <t>-</t>
        </is>
      </c>
      <c r="K265" s="23" t="inlineStr">
        <is>
          <t>Saturday morning works great for Aaliyah — she's free, and a small-group hike that combines photography and scouting fishing spots sounds right up her alley, plus it's free and not crowded. Count her in!</t>
        </is>
      </c>
      <c r="L265" s="24" t="inlineStr">
        <is>
          <t>Yes</t>
        </is>
      </c>
      <c r="M265" s="25" t="n"/>
      <c r="N265" s="26" t="inlineStr">
        <is>
          <t>#252 ask, #253 call, #269 reply</t>
        </is>
      </c>
    </row>
    <row r="266" ht="42" customHeight="1">
      <c r="A266" s="23" t="inlineStr">
        <is>
          <t>T2 2026-10-31/g3</t>
        </is>
      </c>
      <c r="B266" s="23" t="inlineStr">
        <is>
          <t>T2</t>
        </is>
      </c>
      <c r="C266" s="23" t="inlineStr">
        <is>
          <t>Kraken hockey night</t>
        </is>
      </c>
      <c r="D266" s="23" t="inlineStr">
        <is>
          <t>e094 Cody F.</t>
        </is>
      </c>
      <c r="E266" s="24" t="n">
        <v>1</v>
      </c>
      <c r="F266" s="23" t="inlineStr">
        <is>
          <t>7pm-9:30pm</t>
        </is>
      </c>
      <c r="G266" s="23" t="inlineStr">
        <is>
          <t>Saturday 7-9:30pm: watch the Kraken game over dinner at Black Diamond Grill with 3 neighbors who love sports and good food. Low cost.</t>
        </is>
      </c>
      <c r="H266" s="23" t="inlineStr">
        <is>
          <t>nothing in the profile conflicts with it</t>
        </is>
      </c>
      <c r="I266" s="24" t="inlineStr">
        <is>
          <t>YES</t>
        </is>
      </c>
      <c r="J266" s="23" t="inlineStr">
        <is>
          <t>-</t>
        </is>
      </c>
      <c r="K266" s="23" t="inlineStr">
        <is>
          <t>Saturday evening works great for Cody — watching the Kraken game over dinner checks both the watch sports and dining boxes. Count Cody in!</t>
        </is>
      </c>
      <c r="L266" s="24" t="inlineStr">
        <is>
          <t>Yes</t>
        </is>
      </c>
      <c r="M266" s="25" t="n"/>
      <c r="N266" s="26" t="inlineStr">
        <is>
          <t>#257 ask, #258 call, #279 reply</t>
        </is>
      </c>
    </row>
    <row r="267" ht="42" customHeight="1">
      <c r="A267" s="23" t="inlineStr">
        <is>
          <t>T2 2026-10-31/g3</t>
        </is>
      </c>
      <c r="B267" s="23" t="inlineStr">
        <is>
          <t>T2</t>
        </is>
      </c>
      <c r="C267" s="23" t="inlineStr">
        <is>
          <t>Kraken hockey night</t>
        </is>
      </c>
      <c r="D267" s="23" t="inlineStr">
        <is>
          <t>e075 Rosa G.</t>
        </is>
      </c>
      <c r="E267" s="24" t="n">
        <v>1</v>
      </c>
      <c r="F267" s="23" t="inlineStr">
        <is>
          <t>7pm-9:30pm</t>
        </is>
      </c>
      <c r="G267" s="23" t="inlineStr">
        <is>
          <t>Saturday 7-9:30pm: Kraken hockey and craft beer at Black Diamond Grill with 3 neighbors who are fellow sports fans. Low cost.</t>
        </is>
      </c>
      <c r="H267" s="23" t="inlineStr">
        <is>
          <t>nothing in the profile conflicts with it</t>
        </is>
      </c>
      <c r="I267" s="24" t="inlineStr">
        <is>
          <t>YES</t>
        </is>
      </c>
      <c r="J267" s="23" t="inlineStr">
        <is>
          <t>-</t>
        </is>
      </c>
      <c r="K267" s="23" t="inlineStr">
        <is>
          <t>Saturday evening works great for Rosa — watching Kraken hockey with craft beer and fellow sports fans at Black Diamond Grill sounds like a perfect low-cost fit. Count her in!</t>
        </is>
      </c>
      <c r="L267" s="24" t="inlineStr">
        <is>
          <t>Yes</t>
        </is>
      </c>
      <c r="M267" s="25" t="n"/>
      <c r="N267" s="26" t="inlineStr">
        <is>
          <t>#262 ask, #263 call, #274 reply</t>
        </is>
      </c>
    </row>
    <row r="268" ht="42" customHeight="1">
      <c r="A268" s="23" t="inlineStr">
        <is>
          <t>T2 2026-10-31/g3</t>
        </is>
      </c>
      <c r="B268" s="23" t="inlineStr">
        <is>
          <t>T2</t>
        </is>
      </c>
      <c r="C268" s="23" t="inlineStr">
        <is>
          <t>Kraken hockey night</t>
        </is>
      </c>
      <c r="D268" s="23" t="inlineStr">
        <is>
          <t>e157 Kevin B.</t>
        </is>
      </c>
      <c r="E268" s="24" t="n">
        <v>1</v>
      </c>
      <c r="F268" s="23" t="inlineStr">
        <is>
          <t>7pm-9:30pm</t>
        </is>
      </c>
      <c r="G268" s="23" t="inlineStr">
        <is>
          <t>Saturday 7-9:30pm: Kraken game with craft beers at Black Diamond Grill, at a small table of 4 that includes fellow sports fans.</t>
        </is>
      </c>
      <c r="H268" s="23" t="inlineStr">
        <is>
          <t>nothing in the profile conflicts with it</t>
        </is>
      </c>
      <c r="I268" s="24" t="inlineStr">
        <is>
          <t>YES</t>
        </is>
      </c>
      <c r="J268" s="23" t="inlineStr">
        <is>
          <t>-</t>
        </is>
      </c>
      <c r="K268" s="23" t="inlineStr">
        <is>
          <t>Kevin's free Saturday evening and this is right up his alley — watching the Kraken with craft beer at a small table of 4 sounds great. He's in.</t>
        </is>
      </c>
      <c r="L268" s="24" t="inlineStr">
        <is>
          <t>Yes</t>
        </is>
      </c>
      <c r="M268" s="25" t="n"/>
      <c r="N268" s="26" t="inlineStr">
        <is>
          <t>#267 ask, #268 call, #284 reply</t>
        </is>
      </c>
    </row>
    <row r="269" ht="29" customHeight="1">
      <c r="A269" s="23" t="inlineStr">
        <is>
          <t>T2 2026-10-31/g3</t>
        </is>
      </c>
      <c r="B269" s="23" t="inlineStr">
        <is>
          <t>T2</t>
        </is>
      </c>
      <c r="C269" s="23" t="inlineStr">
        <is>
          <t>Kraken hockey night</t>
        </is>
      </c>
      <c r="D269" s="23" t="inlineStr">
        <is>
          <t>e158 Olivia A.</t>
        </is>
      </c>
      <c r="E269" s="24" t="n">
        <v>1</v>
      </c>
      <c r="F269" s="23" t="inlineStr">
        <is>
          <t>7pm-9:30pm</t>
        </is>
      </c>
      <c r="G269" s="23" t="inlineStr">
        <is>
          <t>Saturday 7-9:30pm: dinner and craft beer at Black Diamond Grill while the Kraken play, with 3 neighbors who also enjoy good food and beer.</t>
        </is>
      </c>
      <c r="H269" s="23" t="inlineStr">
        <is>
          <t>nothing in the profile conflicts with it</t>
        </is>
      </c>
      <c r="I269" s="24" t="inlineStr">
        <is>
          <t>YES</t>
        </is>
      </c>
      <c r="J269" s="23" t="inlineStr">
        <is>
          <t>-</t>
        </is>
      </c>
      <c r="K269" s="23" t="inlineStr">
        <is>
          <t>Saturday evening works great for Olivia — dinner, craft beer, and a casual night with neighbors sounds like a fun fit. Count her in!</t>
        </is>
      </c>
      <c r="L269" s="24" t="inlineStr">
        <is>
          <t>Yes</t>
        </is>
      </c>
      <c r="M269" s="25" t="n"/>
      <c r="N269" s="26" t="inlineStr">
        <is>
          <t>#272 ask, #273 call, #299 reply</t>
        </is>
      </c>
    </row>
    <row r="270" ht="29" customHeight="1">
      <c r="A270" s="23" t="inlineStr">
        <is>
          <t>T2 2026-10-31/g4</t>
        </is>
      </c>
      <c r="B270" s="23" t="inlineStr">
        <is>
          <t>T2</t>
        </is>
      </c>
      <c r="C270" s="23" t="inlineStr">
        <is>
          <t>Live music in the beer garden</t>
        </is>
      </c>
      <c r="D270" s="23" t="inlineStr">
        <is>
          <t>e139 Hannah A.</t>
        </is>
      </c>
      <c r="E270" s="24" t="n">
        <v>1</v>
      </c>
      <c r="F270" s="23" t="inlineStr">
        <is>
          <t>7pm-10pm</t>
        </is>
      </c>
      <c r="G270" s="23" t="inlineStr">
        <is>
          <t>Saturday 7-10pm: live music and craft beer at The Vault Taphouse beer garden with 3 neighbors who love both. Low cost.</t>
        </is>
      </c>
      <c r="H270" s="23" t="inlineStr">
        <is>
          <t>nothing in the profile conflicts with it</t>
        </is>
      </c>
      <c r="I270" s="24" t="inlineStr">
        <is>
          <t>YES</t>
        </is>
      </c>
      <c r="J270" s="23" t="inlineStr">
        <is>
          <t>-</t>
        </is>
      </c>
      <c r="K270" s="23" t="inlineStr">
        <is>
          <t>This is a great fit—Hannah's free Saturday evening and loves both live music and craft beer, so The Vault Taphouse works perfectly.</t>
        </is>
      </c>
      <c r="L270" s="24" t="inlineStr">
        <is>
          <t>Yes</t>
        </is>
      </c>
      <c r="M270" s="25" t="n"/>
      <c r="N270" s="26" t="inlineStr">
        <is>
          <t>#277 ask, #278 call, #289 reply</t>
        </is>
      </c>
    </row>
    <row r="271" ht="42" customHeight="1">
      <c r="A271" s="23" t="inlineStr">
        <is>
          <t>T2 2026-10-31/g4</t>
        </is>
      </c>
      <c r="B271" s="23" t="inlineStr">
        <is>
          <t>T2</t>
        </is>
      </c>
      <c r="C271" s="23" t="inlineStr">
        <is>
          <t>Live music in the beer garden</t>
        </is>
      </c>
      <c r="D271" s="23" t="inlineStr">
        <is>
          <t>e037 Steve N.</t>
        </is>
      </c>
      <c r="E271" s="24" t="n">
        <v>1</v>
      </c>
      <c r="F271" s="23" t="inlineStr">
        <is>
          <t>7pm-10pm</t>
        </is>
      </c>
      <c r="G271" s="23" t="inlineStr">
        <is>
          <t>Saturday 7-10pm: live music in The Vault's beer garden with a small table of 4 who share your love of live music and craft beer. Low cost and laid-back.</t>
        </is>
      </c>
      <c r="H271" s="23" t="inlineStr">
        <is>
          <t>nothing in the profile conflicts with it</t>
        </is>
      </c>
      <c r="I271" s="24" t="inlineStr">
        <is>
          <t>YES</t>
        </is>
      </c>
      <c r="J271" s="23" t="inlineStr">
        <is>
          <t>-</t>
        </is>
      </c>
      <c r="K271" s="23" t="inlineStr">
        <is>
          <t>Saturday evening works great for Steve - live music and craft beer with a small, low-key group is right up his alley. Count him in!</t>
        </is>
      </c>
      <c r="L271" s="24" t="inlineStr">
        <is>
          <t>Yes</t>
        </is>
      </c>
      <c r="M271" s="25" t="n"/>
      <c r="N271" s="26" t="inlineStr">
        <is>
          <t>#282 ask, #283 call, #294 reply</t>
        </is>
      </c>
    </row>
    <row r="272" ht="42" customHeight="1">
      <c r="A272" s="23" t="inlineStr">
        <is>
          <t>T2 2026-10-31/g4</t>
        </is>
      </c>
      <c r="B272" s="23" t="inlineStr">
        <is>
          <t>T2</t>
        </is>
      </c>
      <c r="C272" s="23" t="inlineStr">
        <is>
          <t>Live music in the beer garden</t>
        </is>
      </c>
      <c r="D272" s="23" t="inlineStr">
        <is>
          <t>e115 Linda R.</t>
        </is>
      </c>
      <c r="E272" s="24" t="n">
        <v>1</v>
      </c>
      <c r="F272" s="23" t="inlineStr">
        <is>
          <t>7pm-10pm</t>
        </is>
      </c>
      <c r="G272" s="23" t="inlineStr">
        <is>
          <t>Saturday 7-10pm: live music at The Vault Taphouse beer garden, close to home, with 3 neighbors into music and craft beer.</t>
        </is>
      </c>
      <c r="H272" s="23" t="inlineStr">
        <is>
          <t>nothing in the profile conflicts with it</t>
        </is>
      </c>
      <c r="I272" s="24" t="inlineStr">
        <is>
          <t>YES</t>
        </is>
      </c>
      <c r="J272" s="23" t="inlineStr">
        <is>
          <t>-</t>
        </is>
      </c>
      <c r="K272" s="23" t="inlineStr">
        <is>
          <t>This is a great fit — Saturday evening is free, live music and craft beer are right up Linda's alley, and it's low-cost with a small neighborly group. She's in!</t>
        </is>
      </c>
      <c r="L272" s="24" t="inlineStr">
        <is>
          <t>Yes</t>
        </is>
      </c>
      <c r="M272" s="25" t="n"/>
      <c r="N272" s="26" t="inlineStr">
        <is>
          <t>#287 ask, #288 call, #304 reply</t>
        </is>
      </c>
    </row>
    <row r="273" ht="29" customHeight="1">
      <c r="A273" s="23" t="inlineStr">
        <is>
          <t>T2 2026-10-31/g4</t>
        </is>
      </c>
      <c r="B273" s="23" t="inlineStr">
        <is>
          <t>T2</t>
        </is>
      </c>
      <c r="C273" s="23" t="inlineStr">
        <is>
          <t>Live music in the beer garden</t>
        </is>
      </c>
      <c r="D273" s="23" t="inlineStr">
        <is>
          <t>e183 Susan W.</t>
        </is>
      </c>
      <c r="E273" s="24" t="n">
        <v>1</v>
      </c>
      <c r="F273" s="23" t="inlineStr">
        <is>
          <t>7pm-10pm</t>
        </is>
      </c>
      <c r="G273" s="23" t="inlineStr">
        <is>
          <t>Saturday 7-10pm: a local, relaxed evening of live music and craft beer at The Vault with 3 neighbors who enjoy the same.</t>
        </is>
      </c>
      <c r="H273" s="23" t="inlineStr">
        <is>
          <t>nothing in the profile conflicts with it</t>
        </is>
      </c>
      <c r="I273" s="24" t="inlineStr">
        <is>
          <t>YES</t>
        </is>
      </c>
      <c r="J273" s="23" t="inlineStr">
        <is>
          <t>-</t>
        </is>
      </c>
      <c r="K273" s="23" t="inlineStr">
        <is>
          <t>Saturday evening is free and this is right up Susan's alley—live music and craft beer, low cost, small relaxed group. She's in!</t>
        </is>
      </c>
      <c r="L273" s="24" t="inlineStr">
        <is>
          <t>Yes</t>
        </is>
      </c>
      <c r="M273" s="25" t="n"/>
      <c r="N273" s="26" t="inlineStr">
        <is>
          <t>#292 ask, #293 call, #309 reply</t>
        </is>
      </c>
    </row>
    <row r="274" ht="42" customHeight="1">
      <c r="A274" s="23" t="inlineStr">
        <is>
          <t>T2 2026-10-31/g5</t>
        </is>
      </c>
      <c r="B274" s="23" t="inlineStr">
        <is>
          <t>T2</t>
        </is>
      </c>
      <c r="C274" s="23" t="inlineStr">
        <is>
          <t>Evening walk on the Ten Trails paths</t>
        </is>
      </c>
      <c r="D274" s="23" t="inlineStr">
        <is>
          <t>e082 Isabel G.</t>
        </is>
      </c>
      <c r="E274" s="24" t="n">
        <v>1</v>
      </c>
      <c r="F274" s="23" t="inlineStr">
        <is>
          <t>5:30pm-7pm</t>
        </is>
      </c>
      <c r="G274" s="23" t="inlineStr">
        <is>
          <t>Saturday 5:30-7pm: an evening dog walk on the Ten Trails paths with 3 neighbors who love dog walks too. Free and low-key.</t>
        </is>
      </c>
      <c r="H274" s="23" t="inlineStr">
        <is>
          <t>nothing in the profile conflicts with it</t>
        </is>
      </c>
      <c r="I274" s="24" t="inlineStr">
        <is>
          <t>YES</t>
        </is>
      </c>
      <c r="J274" s="23" t="inlineStr">
        <is>
          <t>-</t>
        </is>
      </c>
      <c r="K274" s="23" t="inlineStr">
        <is>
          <t>Saturday evening works great for Isabel — free time, free cost, and dog walks are one of her favorites. A small, low-key group of neighbors sounds perfect, not a crowd. Count her in!</t>
        </is>
      </c>
      <c r="L274" s="24" t="inlineStr">
        <is>
          <t>Yes</t>
        </is>
      </c>
      <c r="M274" s="25" t="n"/>
      <c r="N274" s="26" t="inlineStr">
        <is>
          <t>#297 ask, #298 call, #319 reply</t>
        </is>
      </c>
    </row>
    <row r="275" ht="42" customHeight="1">
      <c r="A275" s="23" t="inlineStr">
        <is>
          <t>T2 2026-10-31/g5</t>
        </is>
      </c>
      <c r="B275" s="23" t="inlineStr">
        <is>
          <t>T2</t>
        </is>
      </c>
      <c r="C275" s="23" t="inlineStr">
        <is>
          <t>Evening walk on the Ten Trails paths</t>
        </is>
      </c>
      <c r="D275" s="23" t="inlineStr">
        <is>
          <t>e051 Nora B.</t>
        </is>
      </c>
      <c r="E275" s="24" t="n">
        <v>1</v>
      </c>
      <c r="F275" s="23" t="inlineStr">
        <is>
          <t>5:30pm-7pm</t>
        </is>
      </c>
      <c r="G275" s="23" t="inlineStr">
        <is>
          <t>Saturday 5:30-7pm: an evening walk with your dog on Ten Trails with 3 fellow dog lovers. Free and relaxed.</t>
        </is>
      </c>
      <c r="H275" s="23" t="inlineStr">
        <is>
          <t>nothing in the profile conflicts with it</t>
        </is>
      </c>
      <c r="I275" s="24" t="inlineStr">
        <is>
          <t>YES</t>
        </is>
      </c>
      <c r="J275" s="23" t="inlineStr">
        <is>
          <t>-</t>
        </is>
      </c>
      <c r="K275" s="23" t="inlineStr">
        <is>
          <t>Saturday evening works great for Nora—free dog walk with neighbors on Ten Trails fits her love of dog walks perfectly and it's within her free evening window. Let's book it!</t>
        </is>
      </c>
      <c r="L275" s="24" t="inlineStr">
        <is>
          <t>Yes</t>
        </is>
      </c>
      <c r="M275" s="25" t="n"/>
      <c r="N275" s="26" t="inlineStr">
        <is>
          <t>#302 ask, #303 call, #324 reply</t>
        </is>
      </c>
    </row>
    <row r="276" ht="29" customHeight="1">
      <c r="A276" s="23" t="inlineStr">
        <is>
          <t>T2 2026-10-31/g5</t>
        </is>
      </c>
      <c r="B276" s="23" t="inlineStr">
        <is>
          <t>T2</t>
        </is>
      </c>
      <c r="C276" s="23" t="inlineStr">
        <is>
          <t>Evening walk on the Ten Trails paths</t>
        </is>
      </c>
      <c r="D276" s="23" t="inlineStr">
        <is>
          <t>e011 Claire P.</t>
        </is>
      </c>
      <c r="E276" s="24" t="n">
        <v>1</v>
      </c>
      <c r="F276" s="23" t="inlineStr">
        <is>
          <t>5:30pm-7pm</t>
        </is>
      </c>
      <c r="G276" s="23" t="inlineStr">
        <is>
          <t>Saturday 5:30-7pm: an evening dog walk on the Ten Trails network with 3 neighbors who also love walking their dogs. Free.</t>
        </is>
      </c>
      <c r="H276" s="23" t="inlineStr">
        <is>
          <t>nothing in the profile conflicts with it</t>
        </is>
      </c>
      <c r="I276" s="24" t="inlineStr">
        <is>
          <t>YES</t>
        </is>
      </c>
      <c r="J276" s="23" t="inlineStr">
        <is>
          <t>-</t>
        </is>
      </c>
      <c r="K276" s="23" t="inlineStr">
        <is>
          <t>Saturday evening works great for Claire — she's free then and loves dog walks, plus it's free. Count her in!</t>
        </is>
      </c>
      <c r="L276" s="24" t="inlineStr">
        <is>
          <t>Yes</t>
        </is>
      </c>
      <c r="M276" s="25" t="n"/>
      <c r="N276" s="26" t="inlineStr">
        <is>
          <t>#307 ask, #308 call, #314 reply</t>
        </is>
      </c>
    </row>
    <row r="277" ht="29" customHeight="1">
      <c r="A277" s="23" t="inlineStr">
        <is>
          <t>T2 2026-10-31/g5</t>
        </is>
      </c>
      <c r="B277" s="23" t="inlineStr">
        <is>
          <t>T2</t>
        </is>
      </c>
      <c r="C277" s="23" t="inlineStr">
        <is>
          <t>Evening walk on the Ten Trails paths</t>
        </is>
      </c>
      <c r="D277" s="23" t="inlineStr">
        <is>
          <t>e045 Nora P.</t>
        </is>
      </c>
      <c r="E277" s="24" t="n">
        <v>1</v>
      </c>
      <c r="F277" s="23" t="inlineStr">
        <is>
          <t>5:30pm-7pm</t>
        </is>
      </c>
      <c r="G277" s="23" t="inlineStr">
        <is>
          <t>Saturday 5:30-7pm: a free dog walk on the Ten Trails paths with 3 other dog-loving neighbors.</t>
        </is>
      </c>
      <c r="H277" s="23" t="inlineStr">
        <is>
          <t>nothing in the profile conflicts with it</t>
        </is>
      </c>
      <c r="I277" s="24" t="inlineStr">
        <is>
          <t>YES</t>
        </is>
      </c>
      <c r="J277" s="23" t="inlineStr">
        <is>
          <t>-</t>
        </is>
      </c>
      <c r="K277" s="23" t="inlineStr">
        <is>
          <t>Saturday evening works great for Nora's calendar, and a dog walk with neighbors is right up her alley. Count her in!</t>
        </is>
      </c>
      <c r="L277" s="24" t="inlineStr">
        <is>
          <t>Yes</t>
        </is>
      </c>
      <c r="M277" s="25" t="n"/>
      <c r="N277" s="26" t="inlineStr">
        <is>
          <t>#312 ask, #313 call, #329 reply</t>
        </is>
      </c>
    </row>
    <row r="278" ht="42" customHeight="1">
      <c r="A278" s="23" t="inlineStr">
        <is>
          <t>T2 2026-10-31/g6</t>
        </is>
      </c>
      <c r="B278" s="23" t="inlineStr">
        <is>
          <t>T2</t>
        </is>
      </c>
      <c r="C278" s="23" t="inlineStr">
        <is>
          <t>Trail cleanup work party</t>
        </is>
      </c>
      <c r="D278" s="23" t="inlineStr">
        <is>
          <t>e159 Tyler O.</t>
        </is>
      </c>
      <c r="E278" s="24" t="n">
        <v>1</v>
      </c>
      <c r="F278" s="23" t="inlineStr">
        <is>
          <t>9am-12pm</t>
        </is>
      </c>
      <c r="G278" s="23" t="inlineStr">
        <is>
          <t>Saturday 9am-12pm: a trail cleanup work party at Green River Gorge with 3 neighbors who love volunteering. It's free and does real good.</t>
        </is>
      </c>
      <c r="H278" s="23" t="inlineStr">
        <is>
          <t>nothing in the profile conflicts with it</t>
        </is>
      </c>
      <c r="I278" s="24" t="inlineStr">
        <is>
          <t>YES</t>
        </is>
      </c>
      <c r="J278" s="23" t="inlineStr">
        <is>
          <t>-</t>
        </is>
      </c>
      <c r="K278" s="23" t="inlineStr">
        <is>
          <t>Saturday morning works great for Tyler—he loves volunteering, and a free trail cleanup with neighbors fits his calendar perfectly. Count him in!</t>
        </is>
      </c>
      <c r="L278" s="24" t="inlineStr">
        <is>
          <t>Yes</t>
        </is>
      </c>
      <c r="M278" s="25" t="n"/>
      <c r="N278" s="26" t="inlineStr">
        <is>
          <t>#317 ask, #318 call, #334 reply</t>
        </is>
      </c>
    </row>
    <row r="279" ht="42" customHeight="1">
      <c r="A279" s="23" t="inlineStr">
        <is>
          <t>T2 2026-10-31/g6</t>
        </is>
      </c>
      <c r="B279" s="23" t="inlineStr">
        <is>
          <t>T2</t>
        </is>
      </c>
      <c r="C279" s="23" t="inlineStr">
        <is>
          <t>Trail cleanup work party</t>
        </is>
      </c>
      <c r="D279" s="23" t="inlineStr">
        <is>
          <t>e081 Andres T.</t>
        </is>
      </c>
      <c r="E279" s="24" t="n">
        <v>1</v>
      </c>
      <c r="F279" s="23" t="inlineStr">
        <is>
          <t>9am-12pm</t>
        </is>
      </c>
      <c r="G279" s="23" t="inlineStr">
        <is>
          <t>Saturday 9am-12pm: a trail cleanup at Green River Gorge, part hike and part volunteering, with 3 other neighbors.</t>
        </is>
      </c>
      <c r="H279" s="23" t="inlineStr">
        <is>
          <t>nothing in the profile conflicts with it</t>
        </is>
      </c>
      <c r="I279" s="24" t="inlineStr">
        <is>
          <t>YES</t>
        </is>
      </c>
      <c r="J279" s="23" t="inlineStr">
        <is>
          <t>-</t>
        </is>
      </c>
      <c r="K279" s="23" t="inlineStr">
        <is>
          <t>Saturday morning works great for Andres — he's free then, and a trail cleanup combining hiking and volunteering is right up his alley. Count him in.</t>
        </is>
      </c>
      <c r="L279" s="24" t="inlineStr">
        <is>
          <t>Yes</t>
        </is>
      </c>
      <c r="M279" s="25" t="n"/>
      <c r="N279" s="26" t="inlineStr">
        <is>
          <t>#322 ask, #323 call, #339 reply</t>
        </is>
      </c>
    </row>
    <row r="280" ht="42" customHeight="1">
      <c r="A280" s="23" t="inlineStr">
        <is>
          <t>T2 2026-10-31/g6</t>
        </is>
      </c>
      <c r="B280" s="23" t="inlineStr">
        <is>
          <t>T2</t>
        </is>
      </c>
      <c r="C280" s="23" t="inlineStr">
        <is>
          <t>Trail cleanup work party</t>
        </is>
      </c>
      <c r="D280" s="23" t="inlineStr">
        <is>
          <t>e027 Ananya T.</t>
        </is>
      </c>
      <c r="E280" s="24" t="n">
        <v>1</v>
      </c>
      <c r="F280" s="23" t="inlineStr">
        <is>
          <t>9am-12pm</t>
        </is>
      </c>
      <c r="G280" s="23" t="inlineStr">
        <is>
          <t>Saturday 9am-12pm: a small, uncompetitive trail cleanup crew of 4 at Green River Gorge, all of you keen volunteers.</t>
        </is>
      </c>
      <c r="H280" s="23" t="inlineStr">
        <is>
          <t>nothing in the profile conflicts with it</t>
        </is>
      </c>
      <c r="I280" s="24" t="inlineStr">
        <is>
          <t>YES</t>
        </is>
      </c>
      <c r="J280" s="23" t="inlineStr">
        <is>
          <t>-</t>
        </is>
      </c>
      <c r="K280" s="23" t="inlineStr">
        <is>
          <t>This fits perfectly—Ananya's free Saturday morning, loves volunteering, and a small non-competitive group of 4 is well within their comfort zone. Count her in for the trail cleanup!</t>
        </is>
      </c>
      <c r="L280" s="24" t="inlineStr">
        <is>
          <t>Yes</t>
        </is>
      </c>
      <c r="M280" s="25" t="n"/>
      <c r="N280" s="26" t="inlineStr">
        <is>
          <t>#327 ask, #328 call, #344 reply</t>
        </is>
      </c>
    </row>
    <row r="281" ht="29" customHeight="1">
      <c r="A281" s="23" t="inlineStr">
        <is>
          <t>T2 2026-10-31/g6</t>
        </is>
      </c>
      <c r="B281" s="23" t="inlineStr">
        <is>
          <t>T2</t>
        </is>
      </c>
      <c r="C281" s="23" t="inlineStr">
        <is>
          <t>Trail cleanup work party</t>
        </is>
      </c>
      <c r="D281" s="23" t="inlineStr">
        <is>
          <t>e036 Tom B.</t>
        </is>
      </c>
      <c r="E281" s="24" t="n">
        <v>1</v>
      </c>
      <c r="F281" s="23" t="inlineStr">
        <is>
          <t>9am-12pm</t>
        </is>
      </c>
      <c r="G281" s="23" t="inlineStr">
        <is>
          <t>Saturday 9am-12pm: a volunteer trail cleanup at Green River Gorge with 3 neighbors who share your love of giving back. Free.</t>
        </is>
      </c>
      <c r="H281" s="23" t="inlineStr">
        <is>
          <t>nothing in the profile conflicts with it</t>
        </is>
      </c>
      <c r="I281" s="24" t="inlineStr">
        <is>
          <t>YES</t>
        </is>
      </c>
      <c r="J281" s="23" t="inlineStr">
        <is>
          <t>-</t>
        </is>
      </c>
      <c r="K281" s="23" t="inlineStr">
        <is>
          <t>Tom's free Saturday morning and loves volunteering, so a trail cleanup with neighbors sounds great to him. Please confirm the spot.</t>
        </is>
      </c>
      <c r="L281" s="24" t="inlineStr">
        <is>
          <t>Yes</t>
        </is>
      </c>
      <c r="M281" s="25" t="n"/>
      <c r="N281" s="26" t="inlineStr">
        <is>
          <t>#332 ask, #333 call, #349 reply</t>
        </is>
      </c>
    </row>
    <row r="282" ht="29" customHeight="1">
      <c r="A282" s="23" t="inlineStr">
        <is>
          <t>T2 2026-10-31/g7</t>
        </is>
      </c>
      <c r="B282" s="23" t="inlineStr">
        <is>
          <t>T2</t>
        </is>
      </c>
      <c r="C282" s="23" t="inlineStr">
        <is>
          <t>Easy 5K together</t>
        </is>
      </c>
      <c r="D282" s="23" t="inlineStr">
        <is>
          <t>e093 Matt W.</t>
        </is>
      </c>
      <c r="E282" s="24" t="n">
        <v>1</v>
      </c>
      <c r="F282" s="23" t="inlineStr">
        <is>
          <t>8:30am-9:30am</t>
        </is>
      </c>
      <c r="G282" s="23" t="inlineStr">
        <is>
          <t>Saturday 8:30-9:30am: an easy, chatty 5K on the Ten Trails network with 3 other neighbors who love running. Free.</t>
        </is>
      </c>
      <c r="H282" s="23" t="inlineStr">
        <is>
          <t>nothing in the profile conflicts with it</t>
        </is>
      </c>
      <c r="I282" s="24" t="inlineStr">
        <is>
          <t>YES</t>
        </is>
      </c>
      <c r="J282" s="23" t="inlineStr">
        <is>
          <t>-</t>
        </is>
      </c>
      <c r="K282" s="23" t="inlineStr">
        <is>
          <t>This works great—Matt's free Saturday morning, loves running, and it's free. Count him in for the 8:30am 5K.</t>
        </is>
      </c>
      <c r="L282" s="24" t="inlineStr">
        <is>
          <t>Yes</t>
        </is>
      </c>
      <c r="M282" s="25" t="n"/>
      <c r="N282" s="26" t="inlineStr">
        <is>
          <t>#337 ask, #338 call, #359 reply</t>
        </is>
      </c>
    </row>
    <row r="283" ht="29" customHeight="1">
      <c r="A283" s="23" t="inlineStr">
        <is>
          <t>T2 2026-10-31/g7</t>
        </is>
      </c>
      <c r="B283" s="23" t="inlineStr">
        <is>
          <t>T2</t>
        </is>
      </c>
      <c r="C283" s="23" t="inlineStr">
        <is>
          <t>Easy 5K together</t>
        </is>
      </c>
      <c r="D283" s="23" t="inlineStr">
        <is>
          <t>e032 Ava N.</t>
        </is>
      </c>
      <c r="E283" s="24" t="n">
        <v>1</v>
      </c>
      <c r="F283" s="23" t="inlineStr">
        <is>
          <t>8:30am-9:30am</t>
        </is>
      </c>
      <c r="G283" s="23" t="inlineStr">
        <is>
          <t>Saturday 8:30-9:30am: an easy 5K at Ten Trails with 3 fellow runners. It's free and done early in the day.</t>
        </is>
      </c>
      <c r="H283" s="23" t="inlineStr">
        <is>
          <t>nothing in the profile conflicts with it</t>
        </is>
      </c>
      <c r="I283" s="24" t="inlineStr">
        <is>
          <t>YES</t>
        </is>
      </c>
      <c r="J283" s="23" t="inlineStr">
        <is>
          <t>-</t>
        </is>
      </c>
      <c r="K283" s="23" t="inlineStr">
        <is>
          <t>Saturday 8:30-9:30am works great for Ava — she loves running, it's free, and it fits her free morning. Count her in!</t>
        </is>
      </c>
      <c r="L283" s="24" t="inlineStr">
        <is>
          <t>Yes</t>
        </is>
      </c>
      <c r="M283" s="25" t="n"/>
      <c r="N283" s="26" t="inlineStr">
        <is>
          <t>#342 ask, #343 call, #354 reply</t>
        </is>
      </c>
    </row>
    <row r="284" ht="42" customHeight="1">
      <c r="A284" s="23" t="inlineStr">
        <is>
          <t>T2 2026-10-31/g7</t>
        </is>
      </c>
      <c r="B284" s="23" t="inlineStr">
        <is>
          <t>T2</t>
        </is>
      </c>
      <c r="C284" s="23" t="inlineStr">
        <is>
          <t>Easy 5K together</t>
        </is>
      </c>
      <c r="D284" s="23" t="inlineStr">
        <is>
          <t>e064 Noah M.</t>
        </is>
      </c>
      <c r="E284" s="24" t="n">
        <v>1</v>
      </c>
      <c r="F284" s="23" t="inlineStr">
        <is>
          <t>8:30am-9:30am</t>
        </is>
      </c>
      <c r="G284" s="23" t="inlineStr">
        <is>
          <t>Saturday 8:30-9:30am: a free, quiet, easy-paced 5K on the Ten Trails paths with 3 neighbors who love running.</t>
        </is>
      </c>
      <c r="H284" s="23" t="inlineStr">
        <is>
          <t>nothing in the profile conflicts with it</t>
        </is>
      </c>
      <c r="I284" s="24" t="inlineStr">
        <is>
          <t>YES</t>
        </is>
      </c>
      <c r="J284" s="23" t="inlineStr">
        <is>
          <t>-</t>
        </is>
      </c>
      <c r="K284" s="23" t="inlineStr">
        <is>
          <t>Saturday 8:30-9:30am works great for Noah — running is one of his loves, it's free, fits his morning availability, and a quiet small-group pace sounds perfect. Count him in!</t>
        </is>
      </c>
      <c r="L284" s="24" t="inlineStr">
        <is>
          <t>Yes</t>
        </is>
      </c>
      <c r="M284" s="25" t="n"/>
      <c r="N284" s="26" t="inlineStr">
        <is>
          <t>#347 ask, #348 call, #364 reply</t>
        </is>
      </c>
    </row>
    <row r="285" ht="29" customHeight="1">
      <c r="A285" s="23" t="inlineStr">
        <is>
          <t>T2 2026-10-31/g7</t>
        </is>
      </c>
      <c r="B285" s="23" t="inlineStr">
        <is>
          <t>T2</t>
        </is>
      </c>
      <c r="C285" s="23" t="inlineStr">
        <is>
          <t>Easy 5K together</t>
        </is>
      </c>
      <c r="D285" s="23" t="inlineStr">
        <is>
          <t>e101 Olivia O.</t>
        </is>
      </c>
      <c r="E285" s="24" t="n">
        <v>1</v>
      </c>
      <c r="F285" s="23" t="inlineStr">
        <is>
          <t>8:30am-9:30am</t>
        </is>
      </c>
      <c r="G285" s="23" t="inlineStr">
        <is>
          <t>Saturday 8:30-9:30am: an easy group 5K at Ten Trails with 3 other keen runners.</t>
        </is>
      </c>
      <c r="H285" s="23" t="inlineStr">
        <is>
          <t>nothing in the profile conflicts with it</t>
        </is>
      </c>
      <c r="I285" s="24" t="inlineStr">
        <is>
          <t>YES</t>
        </is>
      </c>
      <c r="J285" s="23" t="inlineStr">
        <is>
          <t>-</t>
        </is>
      </c>
      <c r="K285" s="23" t="inlineStr">
        <is>
          <t>Olivia's free Saturday morning and loves running, so an easy 5K group run at Ten Trails at 8:30am works great for her. Count her in!</t>
        </is>
      </c>
      <c r="L285" s="24" t="inlineStr">
        <is>
          <t>Yes</t>
        </is>
      </c>
      <c r="M285" s="25" t="n"/>
      <c r="N285" s="26" t="inlineStr">
        <is>
          <t>#352 ask, #353 call, #374 reply</t>
        </is>
      </c>
    </row>
    <row r="286" ht="42" customHeight="1">
      <c r="A286" s="23" t="inlineStr">
        <is>
          <t>T2 2026-10-31/g8</t>
        </is>
      </c>
      <c r="B286" s="23" t="inlineStr">
        <is>
          <t>T2</t>
        </is>
      </c>
      <c r="C286" s="23" t="inlineStr">
        <is>
          <t>Coffee and pastries at the Black Diamond Bakery</t>
        </is>
      </c>
      <c r="D286" s="23" t="inlineStr">
        <is>
          <t>e188 Katie B.</t>
        </is>
      </c>
      <c r="E286" s="24" t="n">
        <v>1</v>
      </c>
      <c r="F286" s="23" t="inlineStr">
        <is>
          <t>10:30am-11:30am</t>
        </is>
      </c>
      <c r="G286" s="23" t="inlineStr">
        <is>
          <t>Saturday 10:30-11:30am: coffee and pastries at the Black Diamond Bakery with 3 neighbors who share your love of baking and coffee. Local and low cost.</t>
        </is>
      </c>
      <c r="H286" s="23" t="inlineStr">
        <is>
          <t>nothing in the profile conflicts with it</t>
        </is>
      </c>
      <c r="I286" s="24" t="inlineStr">
        <is>
          <t>YES</t>
        </is>
      </c>
      <c r="J286" s="23" t="inlineStr">
        <is>
          <t>-</t>
        </is>
      </c>
      <c r="K286" s="23" t="inlineStr">
        <is>
          <t>This is a great fit—Katie loves baking and really likes coffee, it's a small relaxed neighbor group, Saturday morning is free, and it's low cost. Count her in!</t>
        </is>
      </c>
      <c r="L286" s="24" t="inlineStr">
        <is>
          <t>Yes</t>
        </is>
      </c>
      <c r="M286" s="25" t="n"/>
      <c r="N286" s="26" t="inlineStr">
        <is>
          <t>#357 ask, #358 call, #369 reply</t>
        </is>
      </c>
    </row>
    <row r="287" ht="42" customHeight="1">
      <c r="A287" s="23" t="inlineStr">
        <is>
          <t>T2 2026-10-31/g8</t>
        </is>
      </c>
      <c r="B287" s="23" t="inlineStr">
        <is>
          <t>T2</t>
        </is>
      </c>
      <c r="C287" s="23" t="inlineStr">
        <is>
          <t>Coffee and pastries at the Black Diamond Bakery</t>
        </is>
      </c>
      <c r="D287" s="23" t="inlineStr">
        <is>
          <t>e127 Chris W.</t>
        </is>
      </c>
      <c r="E287" s="24" t="n">
        <v>1</v>
      </c>
      <c r="F287" s="23" t="inlineStr">
        <is>
          <t>10:30am-11:30am</t>
        </is>
      </c>
      <c r="G287" s="23" t="inlineStr">
        <is>
          <t>Saturday 10:30-11:30am (not too early): pastries and coffee at the Black Diamond Bakery with 3 neighbors who love baking and good coffee.</t>
        </is>
      </c>
      <c r="H287" s="23" t="inlineStr">
        <is>
          <t>nothing in the profile conflicts with it</t>
        </is>
      </c>
      <c r="I287" s="24" t="inlineStr">
        <is>
          <t>YES</t>
        </is>
      </c>
      <c r="J287" s="23" t="inlineStr">
        <is>
          <t>-</t>
        </is>
      </c>
      <c r="K287" s="23" t="inlineStr">
        <is>
          <t>This works well — Saturday morning is free, 10:30 isn't too early, and coffee plus baking vibes are right up Chris's alley. Let's lock it in.</t>
        </is>
      </c>
      <c r="L287" s="24" t="inlineStr">
        <is>
          <t>Yes</t>
        </is>
      </c>
      <c r="M287" s="25" t="n"/>
      <c r="N287" s="26" t="inlineStr">
        <is>
          <t>#362 ask, #363 call, #379 reply</t>
        </is>
      </c>
    </row>
    <row r="288" ht="29" customHeight="1">
      <c r="A288" s="23" t="inlineStr">
        <is>
          <t>T2 2026-10-31/g8</t>
        </is>
      </c>
      <c r="B288" s="23" t="inlineStr">
        <is>
          <t>T2</t>
        </is>
      </c>
      <c r="C288" s="23" t="inlineStr">
        <is>
          <t>Coffee and pastries at the Black Diamond Bakery</t>
        </is>
      </c>
      <c r="D288" s="23" t="inlineStr">
        <is>
          <t>e029 Yuki P.</t>
        </is>
      </c>
      <c r="E288" s="24" t="n">
        <v>1</v>
      </c>
      <c r="F288" s="23" t="inlineStr">
        <is>
          <t>10:30am-11:30am</t>
        </is>
      </c>
      <c r="G288" s="23" t="inlineStr">
        <is>
          <t>Saturday 10:30-11:30am: coffee at the Black Diamond Bakery with 3 fellow coffee lovers. Low cost.</t>
        </is>
      </c>
      <c r="H288" s="23" t="inlineStr">
        <is>
          <t>nothing in the profile conflicts with it</t>
        </is>
      </c>
      <c r="I288" s="24" t="inlineStr">
        <is>
          <t>YES</t>
        </is>
      </c>
      <c r="J288" s="23" t="inlineStr">
        <is>
          <t>-</t>
        </is>
      </c>
      <c r="K288" s="23" t="inlineStr">
        <is>
          <t>Saturday morning works great for Yuki's free time, and coffee with neighbors is right up their alley. Count Yuki in!</t>
        </is>
      </c>
      <c r="L288" s="24" t="inlineStr">
        <is>
          <t>Yes</t>
        </is>
      </c>
      <c r="M288" s="25" t="n"/>
      <c r="N288" s="26" t="inlineStr">
        <is>
          <t>#367 ask, #368 call, #389 reply</t>
        </is>
      </c>
    </row>
    <row r="289" ht="42" customHeight="1">
      <c r="A289" s="23" t="inlineStr">
        <is>
          <t>T2 2026-10-31/g8</t>
        </is>
      </c>
      <c r="B289" s="23" t="inlineStr">
        <is>
          <t>T2</t>
        </is>
      </c>
      <c r="C289" s="23" t="inlineStr">
        <is>
          <t>Coffee and pastries at the Black Diamond Bakery</t>
        </is>
      </c>
      <c r="D289" s="23" t="inlineStr">
        <is>
          <t>e088 Hannah R.</t>
        </is>
      </c>
      <c r="E289" s="24" t="n">
        <v>1</v>
      </c>
      <c r="F289" s="23" t="inlineStr">
        <is>
          <t>10:30am-11:30am</t>
        </is>
      </c>
      <c r="G289" s="23" t="inlineStr">
        <is>
          <t>Saturday 10:30-11:30am: coffee and a pastry at the Black Diamond Bakery with 3 neighbors who enjoy good coffee too.</t>
        </is>
      </c>
      <c r="H289" s="23" t="inlineStr">
        <is>
          <t>nothing in the profile conflicts with it</t>
        </is>
      </c>
      <c r="I289" s="24" t="inlineStr">
        <is>
          <t>YES</t>
        </is>
      </c>
      <c r="J289" s="23" t="inlineStr">
        <is>
          <t>-</t>
        </is>
      </c>
      <c r="K289" s="23" t="inlineStr">
        <is>
          <t>Saturday morning works great for Hannah — she loves coffee, so coffee and pastries with neighbors at Black Diamond Bakery, 10:30-11:30am, is a yes.</t>
        </is>
      </c>
      <c r="L289" s="24" t="inlineStr">
        <is>
          <t>Yes</t>
        </is>
      </c>
      <c r="M289" s="25" t="n"/>
      <c r="N289" s="26" t="inlineStr">
        <is>
          <t>#372 ask, #373 call, #384 reply</t>
        </is>
      </c>
    </row>
    <row r="290" ht="42" customHeight="1">
      <c r="A290" s="23" t="inlineStr">
        <is>
          <t>T2 2026-10-31/g9</t>
        </is>
      </c>
      <c r="B290" s="23" t="inlineStr">
        <is>
          <t>T2</t>
        </is>
      </c>
      <c r="C290" s="23" t="inlineStr">
        <is>
          <t>Pickleball doubles</t>
        </is>
      </c>
      <c r="D290" s="23" t="inlineStr">
        <is>
          <t>e019 Olivia R.</t>
        </is>
      </c>
      <c r="E290" s="24" t="n">
        <v>1</v>
      </c>
      <c r="F290" s="23" t="inlineStr">
        <is>
          <t>9am-10:30am</t>
        </is>
      </c>
      <c r="G290" s="23" t="inlineStr">
        <is>
          <t>Saturday 9-10:30am: pickleball doubles at the public courts in Maple Valley with 3 other keen players. Free, in the daytime.</t>
        </is>
      </c>
      <c r="H290" s="23" t="inlineStr">
        <is>
          <t>nothing in the profile conflicts with it</t>
        </is>
      </c>
      <c r="I290" s="24" t="inlineStr">
        <is>
          <t>YES</t>
        </is>
      </c>
      <c r="J290" s="23" t="inlineStr">
        <is>
          <t>-</t>
        </is>
      </c>
      <c r="K290" s="23" t="inlineStr">
        <is>
          <t>Saturday 9-10:30am pickleball works great for Olivia — she's free that morning, loves pickleball, and free is right in budget. Count her in!</t>
        </is>
      </c>
      <c r="L290" s="24" t="inlineStr">
        <is>
          <t>Yes</t>
        </is>
      </c>
      <c r="M290" s="25" t="n"/>
      <c r="N290" s="26" t="inlineStr">
        <is>
          <t>#377 ask, #378 call, #399 reply</t>
        </is>
      </c>
    </row>
    <row r="291" ht="42" customHeight="1">
      <c r="A291" s="23" t="inlineStr">
        <is>
          <t>T2 2026-10-31/g9</t>
        </is>
      </c>
      <c r="B291" s="23" t="inlineStr">
        <is>
          <t>T2</t>
        </is>
      </c>
      <c r="C291" s="23" t="inlineStr">
        <is>
          <t>Pickleball doubles</t>
        </is>
      </c>
      <c r="D291" s="23" t="inlineStr">
        <is>
          <t>e138 Hana T.</t>
        </is>
      </c>
      <c r="E291" s="24" t="n">
        <v>1</v>
      </c>
      <c r="F291" s="23" t="inlineStr">
        <is>
          <t>9am-10:30am</t>
        </is>
      </c>
      <c r="G291" s="23" t="inlineStr">
        <is>
          <t>Saturday 9-10:30am: a pickleball doubles foursome at the Maple Valley courts with 3 neighbors who love the game. Free, outdoors.</t>
        </is>
      </c>
      <c r="H291" s="23" t="inlineStr">
        <is>
          <t>nothing in the profile conflicts with it</t>
        </is>
      </c>
      <c r="I291" s="24" t="inlineStr">
        <is>
          <t>YES</t>
        </is>
      </c>
      <c r="J291" s="23" t="inlineStr">
        <is>
          <t>-</t>
        </is>
      </c>
      <c r="K291" s="23" t="inlineStr">
        <is>
          <t>Saturday morning works great—Hana's free then and loves pickleball. Free outdoor courts with neighbors sounds perfect, let's lock it in.</t>
        </is>
      </c>
      <c r="L291" s="24" t="inlineStr">
        <is>
          <t>Yes</t>
        </is>
      </c>
      <c r="M291" s="25" t="n"/>
      <c r="N291" s="26" t="inlineStr">
        <is>
          <t>#382 ask, #383 call, #404 reply</t>
        </is>
      </c>
    </row>
    <row r="292" ht="29" customHeight="1">
      <c r="A292" s="23" t="inlineStr">
        <is>
          <t>T2 2026-10-31/g9</t>
        </is>
      </c>
      <c r="B292" s="23" t="inlineStr">
        <is>
          <t>T2</t>
        </is>
      </c>
      <c r="C292" s="23" t="inlineStr">
        <is>
          <t>Pickleball doubles</t>
        </is>
      </c>
      <c r="D292" s="23" t="inlineStr">
        <is>
          <t>e043 Quinn J.</t>
        </is>
      </c>
      <c r="E292" s="24" t="n">
        <v>1</v>
      </c>
      <c r="F292" s="23" t="inlineStr">
        <is>
          <t>9am-10:30am</t>
        </is>
      </c>
      <c r="G292" s="23" t="inlineStr">
        <is>
          <t>Saturday 9-10:30am: free pickleball doubles in Maple Valley with 3 other enthusiastic players.</t>
        </is>
      </c>
      <c r="H292" s="23" t="inlineStr">
        <is>
          <t>nothing in the profile conflicts with it</t>
        </is>
      </c>
      <c r="I292" s="24" t="inlineStr">
        <is>
          <t>YES</t>
        </is>
      </c>
      <c r="J292" s="23" t="inlineStr">
        <is>
          <t>-</t>
        </is>
      </c>
      <c r="K292" s="23" t="inlineStr">
        <is>
          <t>Saturday 9-10:30am works great—Quinn loves pickleball, it's free, and that morning slot is open. Count them in!</t>
        </is>
      </c>
      <c r="L292" s="24" t="inlineStr">
        <is>
          <t>Yes</t>
        </is>
      </c>
      <c r="M292" s="25" t="n"/>
      <c r="N292" s="26" t="inlineStr">
        <is>
          <t>#387 ask, #388 call, #394 reply</t>
        </is>
      </c>
    </row>
    <row r="293" ht="29" customHeight="1">
      <c r="A293" s="23" t="inlineStr">
        <is>
          <t>T2 2026-10-31/g9</t>
        </is>
      </c>
      <c r="B293" s="23" t="inlineStr">
        <is>
          <t>T2</t>
        </is>
      </c>
      <c r="C293" s="23" t="inlineStr">
        <is>
          <t>Pickleball doubles</t>
        </is>
      </c>
      <c r="D293" s="23" t="inlineStr">
        <is>
          <t>e113 Seo-yeon L.</t>
        </is>
      </c>
      <c r="E293" s="24" t="n">
        <v>1</v>
      </c>
      <c r="F293" s="23" t="inlineStr">
        <is>
          <t>9am-10:30am</t>
        </is>
      </c>
      <c r="G293" s="23" t="inlineStr">
        <is>
          <t>Saturday 9-10:30am: pickleball doubles at the Maple Valley public courts with 3 keen players, wrapped up well before evening.</t>
        </is>
      </c>
      <c r="H293" s="23" t="inlineStr">
        <is>
          <t>nothing in the profile conflicts with it</t>
        </is>
      </c>
      <c r="I293" s="24" t="inlineStr">
        <is>
          <t>YES</t>
        </is>
      </c>
      <c r="J293" s="23" t="inlineStr">
        <is>
          <t>-</t>
        </is>
      </c>
      <c r="K293" s="23" t="inlineStr">
        <is>
          <t>This works great—Seo-yeon loves pickleball, Saturday morning is free, and free public courts fit the budget perfectly. Count them in!</t>
        </is>
      </c>
      <c r="L293" s="24" t="inlineStr">
        <is>
          <t>Yes</t>
        </is>
      </c>
      <c r="M293" s="25" t="n"/>
      <c r="N293" s="26" t="inlineStr">
        <is>
          <t>#392 ask, #393 call, #409 reply</t>
        </is>
      </c>
    </row>
    <row r="294" ht="42" customHeight="1">
      <c r="A294" s="23" t="inlineStr">
        <is>
          <t>T2 2026-10-31/g10</t>
        </is>
      </c>
      <c r="B294" s="23" t="inlineStr">
        <is>
          <t>T2</t>
        </is>
      </c>
      <c r="C294" s="23" t="inlineStr">
        <is>
          <t>Paddle Lake Sawyer</t>
        </is>
      </c>
      <c r="D294" s="23" t="inlineStr">
        <is>
          <t>e023 Claire F.</t>
        </is>
      </c>
      <c r="E294" s="24" t="n">
        <v>1</v>
      </c>
      <c r="F294" s="23" t="inlineStr">
        <is>
          <t>1pm-3:30pm</t>
        </is>
      </c>
      <c r="G294" s="23" t="inlineStr">
        <is>
          <t>Saturday 1-3:30pm: a quiet paddle on Lake Sawyer from the boat launch with 3 neighbors who love kayaking. Low cost.</t>
        </is>
      </c>
      <c r="H294" s="23" t="inlineStr">
        <is>
          <t>nothing in the profile conflicts with it</t>
        </is>
      </c>
      <c r="I294" s="24" t="inlineStr">
        <is>
          <t>YES</t>
        </is>
      </c>
      <c r="J294" s="23" t="inlineStr">
        <is>
          <t>-</t>
        </is>
      </c>
      <c r="K294" s="23" t="inlineStr">
        <is>
          <t>Saturday afternoon works great for Claire — kayaking on Lake Sawyer with a small neighbor group sounds perfect, and the quiet setting fits her preference to avoid loud places. Count her in!</t>
        </is>
      </c>
      <c r="L294" s="24" t="inlineStr">
        <is>
          <t>Yes</t>
        </is>
      </c>
      <c r="M294" s="25" t="n"/>
      <c r="N294" s="26" t="inlineStr">
        <is>
          <t>#397 ask, #398 call, #414 reply</t>
        </is>
      </c>
    </row>
    <row r="295" ht="42" customHeight="1">
      <c r="A295" s="23" t="inlineStr">
        <is>
          <t>T2 2026-10-31/g10</t>
        </is>
      </c>
      <c r="B295" s="23" t="inlineStr">
        <is>
          <t>T2</t>
        </is>
      </c>
      <c r="C295" s="23" t="inlineStr">
        <is>
          <t>Paddle Lake Sawyer</t>
        </is>
      </c>
      <c r="D295" s="23" t="inlineStr">
        <is>
          <t>e049 Lauren P.</t>
        </is>
      </c>
      <c r="E295" s="24" t="n">
        <v>1</v>
      </c>
      <c r="F295" s="23" t="inlineStr">
        <is>
          <t>1pm-3:30pm</t>
        </is>
      </c>
      <c r="G295" s="23" t="inlineStr">
        <is>
          <t>Saturday 1-3:30pm: kayak Lake Sawyer with 3 fellow paddlers. Low cost and relaxed.</t>
        </is>
      </c>
      <c r="H295" s="23" t="inlineStr">
        <is>
          <t>nothing in the profile conflicts with it</t>
        </is>
      </c>
      <c r="I295" s="24" t="inlineStr">
        <is>
          <t>YES</t>
        </is>
      </c>
      <c r="J295" s="23" t="inlineStr">
        <is>
          <t>-</t>
        </is>
      </c>
      <c r="K295" s="23" t="inlineStr">
        <is>
          <t>This is a great fit—kayaking is one of Lauren's favorite activities, Saturday afternoon is open, and the low cost works with her budget. She'd love to join the paddle group!</t>
        </is>
      </c>
      <c r="L295" s="24" t="inlineStr">
        <is>
          <t>Yes</t>
        </is>
      </c>
      <c r="M295" s="25" t="n"/>
      <c r="N295" s="26" t="inlineStr">
        <is>
          <t>#402 ask, #403 call, #417 reply</t>
        </is>
      </c>
    </row>
    <row r="296" ht="42" customHeight="1">
      <c r="A296" s="23" t="inlineStr">
        <is>
          <t>T2 2026-10-31/g10</t>
        </is>
      </c>
      <c r="B296" s="23" t="inlineStr">
        <is>
          <t>T2</t>
        </is>
      </c>
      <c r="C296" s="23" t="inlineStr">
        <is>
          <t>Paddle Lake Sawyer</t>
        </is>
      </c>
      <c r="D296" s="23" t="inlineStr">
        <is>
          <t>e086 Hannah C.</t>
        </is>
      </c>
      <c r="E296" s="24" t="n">
        <v>1</v>
      </c>
      <c r="F296" s="23" t="inlineStr">
        <is>
          <t>1pm-3:30pm</t>
        </is>
      </c>
      <c r="G296" s="23" t="inlineStr">
        <is>
          <t>Saturday 1-3:30pm: a kayak outing on Lake Sawyer with 3 neighbors who enjoy paddling too.</t>
        </is>
      </c>
      <c r="H296" s="23" t="inlineStr">
        <is>
          <t>nothing in the profile conflicts with it</t>
        </is>
      </c>
      <c r="I296" s="24" t="inlineStr">
        <is>
          <t>YES</t>
        </is>
      </c>
      <c r="J296" s="23" t="inlineStr">
        <is>
          <t>-</t>
        </is>
      </c>
      <c r="K296" s="23" t="inlineStr">
        <is>
          <t>Saturday afternoon works great for Hannah — kayaking is one of her favorite activities, and Lake Sawyer with a small group of neighbors sounds perfect. Count her in!</t>
        </is>
      </c>
      <c r="L296" s="24" t="inlineStr">
        <is>
          <t>Yes</t>
        </is>
      </c>
      <c r="M296" s="25" t="n"/>
      <c r="N296" s="26" t="inlineStr">
        <is>
          <t>#407 ask, #408 call, #420 reply</t>
        </is>
      </c>
    </row>
    <row r="297" ht="42" customHeight="1">
      <c r="A297" s="23" t="inlineStr">
        <is>
          <t>T2 2026-10-31/g10</t>
        </is>
      </c>
      <c r="B297" s="23" t="inlineStr">
        <is>
          <t>T2</t>
        </is>
      </c>
      <c r="C297" s="23" t="inlineStr">
        <is>
          <t>Paddle Lake Sawyer</t>
        </is>
      </c>
      <c r="D297" s="23" t="inlineStr">
        <is>
          <t>e067 Donna M.</t>
        </is>
      </c>
      <c r="E297" s="24" t="n">
        <v>1</v>
      </c>
      <c r="F297" s="23" t="inlineStr">
        <is>
          <t>1pm-3:30pm</t>
        </is>
      </c>
      <c r="G297" s="23" t="inlineStr">
        <is>
          <t>Saturday 1-3:30pm: an uncrowded small-group paddle on Lake Sawyer, kayaking with 3 neighbors. Low cost.</t>
        </is>
      </c>
      <c r="H297" s="23" t="inlineStr">
        <is>
          <t>nothing in the profile conflicts with it</t>
        </is>
      </c>
      <c r="I297" s="24" t="inlineStr">
        <is>
          <t>YES</t>
        </is>
      </c>
      <c r="J297" s="23" t="inlineStr">
        <is>
          <t>-</t>
        </is>
      </c>
      <c r="K297" s="23" t="inlineStr">
        <is>
          <t>Saturday 1-3:30pm works great for Donna—kayaking is one of her favorites, the time fits her free afternoon, it's low cost, and a small group of neighbors keeps it away from crowds. She's in!</t>
        </is>
      </c>
      <c r="L297" s="24" t="inlineStr">
        <is>
          <t>Yes</t>
        </is>
      </c>
      <c r="M297" s="25" t="n"/>
      <c r="N297" s="26" t="inlineStr">
        <is>
          <t>#412 ask, #413 call, #423 reply</t>
        </is>
      </c>
    </row>
  </sheetData>
  <autoFilter ref="A1:N297"/>
  <conditionalFormatting sqref="I2:I297">
    <cfRule type="expression" priority="1" dxfId="0">
      <formula>$I2="NO"</formula>
    </cfRule>
    <cfRule type="expression" priority="2" dxfId="1">
      <formula>$I2="COUNTER"</formula>
    </cfRule>
    <cfRule type="expression" priority="3" dxfId="2">
      <formula>$I2="YES"</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2:H24"/>
  <sheetViews>
    <sheetView showGridLines="0" workbookViewId="0">
      <selection activeCell="A1" sqref="A1"/>
    </sheetView>
  </sheetViews>
  <sheetFormatPr baseColWidth="8" defaultRowHeight="15"/>
  <cols>
    <col width="3" customWidth="1" min="1" max="1"/>
    <col width="30" customWidth="1" min="2" max="2"/>
    <col width="12" customWidth="1" min="3" max="3"/>
    <col width="10" customWidth="1" min="4" max="4"/>
    <col width="4" customWidth="1" min="5" max="5"/>
    <col width="20" customWidth="1" min="6" max="6"/>
    <col width="12" customWidth="1" min="7" max="7"/>
    <col width="18" customWidth="1" min="8" max="8"/>
  </cols>
  <sheetData>
    <row r="2">
      <c r="B2" s="1" t="inlineStr">
        <is>
          <t>Review progress</t>
        </is>
      </c>
    </row>
    <row r="4">
      <c r="B4" s="27" t="inlineStr">
        <is>
          <t>Claude's read</t>
        </is>
      </c>
      <c r="C4" s="27" t="inlineStr">
        <is>
          <t>Matches</t>
        </is>
      </c>
      <c r="D4" s="27" t="inlineStr">
        <is>
          <t>Share</t>
        </is>
      </c>
      <c r="F4" s="27" t="inlineStr">
        <is>
          <t>Your verdict</t>
        </is>
      </c>
      <c r="G4" s="27" t="inlineStr">
        <is>
          <t>Matches</t>
        </is>
      </c>
      <c r="H4" s="27" t="inlineStr">
        <is>
          <t>Share of reviewed</t>
        </is>
      </c>
    </row>
    <row r="5">
      <c r="A5" s="28" t="n"/>
      <c r="B5" s="29" t="inlineStr">
        <is>
          <t>Good</t>
        </is>
      </c>
      <c r="C5" s="28">
        <f>COUNTIF(Matches!$K$2:$K$68,B5)</f>
        <v/>
      </c>
      <c r="D5" s="30">
        <f>IF($C$9=0,0,C5/$C$9)</f>
        <v/>
      </c>
      <c r="E5" s="28" t="n"/>
      <c r="F5" s="28" t="inlineStr">
        <is>
          <t>Good</t>
        </is>
      </c>
      <c r="G5" s="28">
        <f>COUNTIF(Matches!$N$2:$N$68,F5)</f>
        <v/>
      </c>
      <c r="H5" s="30">
        <f>IF($G$9=0,0,G5/$G$9)</f>
        <v/>
      </c>
    </row>
    <row r="6">
      <c r="A6" s="28" t="n"/>
      <c r="B6" s="31" t="inlineStr">
        <is>
          <t>OK</t>
        </is>
      </c>
      <c r="C6" s="28">
        <f>COUNTIF(Matches!$K$2:$K$68,B6)</f>
        <v/>
      </c>
      <c r="D6" s="30">
        <f>IF($C$9=0,0,C6/$C$9)</f>
        <v/>
      </c>
      <c r="E6" s="28" t="n"/>
      <c r="F6" s="28" t="inlineStr">
        <is>
          <t>OK</t>
        </is>
      </c>
      <c r="G6" s="28">
        <f>COUNTIF(Matches!$N$2:$N$68,F6)</f>
        <v/>
      </c>
      <c r="H6" s="30">
        <f>IF($G$9=0,0,G6/$G$9)</f>
        <v/>
      </c>
    </row>
    <row r="7">
      <c r="A7" s="28" t="n"/>
      <c r="B7" s="32" t="inlineStr">
        <is>
          <t>Weak</t>
        </is>
      </c>
      <c r="C7" s="28">
        <f>COUNTIF(Matches!$K$2:$K$68,B7)</f>
        <v/>
      </c>
      <c r="D7" s="30">
        <f>IF($C$9=0,0,C7/$C$9)</f>
        <v/>
      </c>
      <c r="E7" s="28" t="n"/>
      <c r="F7" s="28" t="inlineStr">
        <is>
          <t>Bad</t>
        </is>
      </c>
      <c r="G7" s="28">
        <f>COUNTIF(Matches!$N$2:$N$68,F7)</f>
        <v/>
      </c>
      <c r="H7" s="30">
        <f>IF($G$9=0,0,G7/$G$9)</f>
        <v/>
      </c>
    </row>
    <row r="8">
      <c r="A8" s="28" t="n"/>
      <c r="B8" s="32" t="inlineStr">
        <is>
          <t>Bad</t>
        </is>
      </c>
      <c r="C8" s="28">
        <f>COUNTIF(Matches!$K$2:$K$68,B8)</f>
        <v/>
      </c>
      <c r="D8" s="30">
        <f>IF($C$9=0,0,C8/$C$9)</f>
        <v/>
      </c>
      <c r="E8" s="28" t="n"/>
      <c r="F8" s="28" t="inlineStr">
        <is>
          <t>Unsure</t>
        </is>
      </c>
      <c r="G8" s="28">
        <f>COUNTIF(Matches!$N$2:$N$68,F8)</f>
        <v/>
      </c>
      <c r="H8" s="30">
        <f>IF($G$9=0,0,G8/$G$9)</f>
        <v/>
      </c>
    </row>
    <row r="9">
      <c r="A9" s="28" t="n"/>
      <c r="B9" s="33" t="inlineStr">
        <is>
          <t>Total</t>
        </is>
      </c>
      <c r="C9" s="33">
        <f>SUM(C5:C8)</f>
        <v/>
      </c>
      <c r="D9" s="28" t="n"/>
      <c r="E9" s="28" t="n"/>
      <c r="F9" s="33" t="inlineStr">
        <is>
          <t>Reviewed</t>
        </is>
      </c>
      <c r="G9" s="33">
        <f>SUM(G5:G8)</f>
        <v/>
      </c>
      <c r="H9" s="28" t="n"/>
    </row>
    <row r="10">
      <c r="A10" s="28" t="n"/>
      <c r="B10" s="28" t="n"/>
      <c r="C10" s="28" t="n"/>
      <c r="D10" s="28" t="n"/>
      <c r="E10" s="28" t="n"/>
      <c r="F10" s="33" t="inlineStr">
        <is>
          <t>Still to review</t>
        </is>
      </c>
      <c r="G10" s="33">
        <f>C9-G9</f>
        <v/>
      </c>
      <c r="H10" s="28" t="n"/>
    </row>
    <row r="11">
      <c r="A11" s="28" t="n"/>
      <c r="B11" s="28" t="n"/>
      <c r="C11" s="28" t="n"/>
      <c r="D11" s="28" t="n"/>
      <c r="E11" s="28" t="n"/>
      <c r="F11" s="28" t="n"/>
      <c r="G11" s="28" t="n"/>
      <c r="H11" s="28" t="n"/>
    </row>
    <row r="12">
      <c r="A12" s="28" t="n"/>
      <c r="B12" s="3" t="inlineStr">
        <is>
          <t>Where you and Claude disagree</t>
        </is>
      </c>
      <c r="C12" s="28" t="n"/>
      <c r="D12" s="28" t="n"/>
      <c r="E12" s="28" t="n"/>
      <c r="F12" s="28" t="n"/>
      <c r="G12" s="28" t="n"/>
      <c r="H12" s="28" t="n"/>
    </row>
    <row r="13">
      <c r="A13" s="28" t="n"/>
      <c r="B13" s="28" t="inlineStr">
        <is>
          <t>Claude: Good, you: Bad</t>
        </is>
      </c>
      <c r="C13" s="28">
        <f>COUNTIFS(Matches!$K$2:$K$68,"Good",Matches!$N$2:$N$68,"Bad")</f>
        <v/>
      </c>
      <c r="D13" s="28" t="n"/>
      <c r="E13" s="28" t="n"/>
      <c r="F13" s="28" t="n"/>
      <c r="G13" s="28" t="n"/>
      <c r="H13" s="28" t="n"/>
    </row>
    <row r="14">
      <c r="A14" s="28" t="n"/>
      <c r="B14" s="28" t="inlineStr">
        <is>
          <t>Claude: Weak or Bad, you: Good</t>
        </is>
      </c>
      <c r="C14" s="28">
        <f>COUNTIFS(Matches!$K$2:$K$68,"Weak",Matches!$N$2:$N$68,"Good")+COUNTIFS(Matches!$K$2:$K$68,"Bad",Matches!$N$2:$N$68,"Good")</f>
        <v/>
      </c>
      <c r="D14" s="28" t="n"/>
      <c r="E14" s="28" t="n"/>
      <c r="F14" s="28" t="n"/>
      <c r="G14" s="28" t="n"/>
      <c r="H14" s="28" t="n"/>
    </row>
    <row r="15">
      <c r="A15" s="28" t="n"/>
      <c r="B15" s="28" t="n"/>
      <c r="C15" s="28" t="n"/>
      <c r="D15" s="28" t="n"/>
      <c r="E15" s="28" t="n"/>
      <c r="F15" s="28" t="n"/>
      <c r="G15" s="28" t="n"/>
      <c r="H15" s="28" t="n"/>
    </row>
    <row r="16">
      <c r="A16" s="28" t="n"/>
      <c r="B16" s="3" t="inlineStr">
        <is>
          <t>By run</t>
        </is>
      </c>
      <c r="C16" s="28" t="n"/>
      <c r="D16" s="28" t="n"/>
      <c r="E16" s="28" t="n"/>
      <c r="F16" s="28" t="n"/>
      <c r="G16" s="28" t="n"/>
      <c r="H16" s="28" t="n"/>
    </row>
    <row r="17">
      <c r="A17" s="28" t="n"/>
      <c r="B17" s="27" t="inlineStr">
        <is>
          <t>Run</t>
        </is>
      </c>
      <c r="C17" s="27" t="inlineStr">
        <is>
          <t>Matches</t>
        </is>
      </c>
      <c r="D17" s="27" t="inlineStr">
        <is>
          <t>Good</t>
        </is>
      </c>
      <c r="E17" s="28" t="n"/>
      <c r="F17" s="27" t="inlineStr">
        <is>
          <t>OK</t>
        </is>
      </c>
      <c r="G17" s="27" t="inlineStr">
        <is>
          <t>Weak</t>
        </is>
      </c>
      <c r="H17" s="28" t="n"/>
    </row>
    <row r="18">
      <c r="A18" s="28" t="n"/>
      <c r="B18" s="28" t="inlineStr">
        <is>
          <t>S (before fixes)</t>
        </is>
      </c>
      <c r="C18" s="28">
        <f>COUNTIF(Matches!$B$2:$B$68,"S*")</f>
        <v/>
      </c>
      <c r="D18" s="28">
        <f>COUNTIFS(Matches!$B$2:$B$68,"S*",Matches!$K$2:$K$68,"Good")</f>
        <v/>
      </c>
      <c r="E18" s="28" t="n"/>
      <c r="F18" s="28">
        <f>COUNTIFS(Matches!$B$2:$B$68,"S*",Matches!$K$2:$K$68,"OK")</f>
        <v/>
      </c>
      <c r="G18" s="28">
        <f>COUNTIFS(Matches!$B$2:$B$68,"S*",Matches!$K$2:$K$68,"Weak")</f>
        <v/>
      </c>
      <c r="H18" s="28" t="n"/>
    </row>
    <row r="19">
      <c r="A19" s="28" t="n"/>
      <c r="B19" s="28" t="inlineStr">
        <is>
          <t>P1 (before fixes)</t>
        </is>
      </c>
      <c r="C19" s="28">
        <f>COUNTIF(Matches!$B$2:$B$68,"P1*")</f>
        <v/>
      </c>
      <c r="D19" s="28">
        <f>COUNTIFS(Matches!$B$2:$B$68,"P1*",Matches!$K$2:$K$68,"Good")</f>
        <v/>
      </c>
      <c r="E19" s="28" t="n"/>
      <c r="F19" s="28">
        <f>COUNTIFS(Matches!$B$2:$B$68,"P1*",Matches!$K$2:$K$68,"OK")</f>
        <v/>
      </c>
      <c r="G19" s="28">
        <f>COUNTIFS(Matches!$B$2:$B$68,"P1*",Matches!$K$2:$K$68,"Weak")</f>
        <v/>
      </c>
      <c r="H19" s="28" t="n"/>
    </row>
    <row r="20">
      <c r="A20" s="28" t="n"/>
      <c r="B20" s="28" t="inlineStr">
        <is>
          <t>T1 (before fixes)</t>
        </is>
      </c>
      <c r="C20" s="28">
        <f>COUNTIF(Matches!$B$2:$B$68,"T1*")</f>
        <v/>
      </c>
      <c r="D20" s="28">
        <f>COUNTIFS(Matches!$B$2:$B$68,"T1*",Matches!$K$2:$K$68,"Good")</f>
        <v/>
      </c>
      <c r="E20" s="28" t="n"/>
      <c r="F20" s="28">
        <f>COUNTIFS(Matches!$B$2:$B$68,"T1*",Matches!$K$2:$K$68,"OK")</f>
        <v/>
      </c>
      <c r="G20" s="28">
        <f>COUNTIFS(Matches!$B$2:$B$68,"T1*",Matches!$K$2:$K$68,"Weak")</f>
        <v/>
      </c>
      <c r="H20" s="28" t="n"/>
    </row>
    <row r="21">
      <c r="A21" s="28" t="n"/>
      <c r="B21" s="28" t="inlineStr">
        <is>
          <t>P2 (after fixes)</t>
        </is>
      </c>
      <c r="C21" s="28">
        <f>COUNTIF(Matches!$B$2:$B$68,"P2*")</f>
        <v/>
      </c>
      <c r="D21" s="28">
        <f>COUNTIFS(Matches!$B$2:$B$68,"P2*",Matches!$K$2:$K$68,"Good")</f>
        <v/>
      </c>
      <c r="E21" s="28" t="n"/>
      <c r="F21" s="28">
        <f>COUNTIFS(Matches!$B$2:$B$68,"P2*",Matches!$K$2:$K$68,"OK")</f>
        <v/>
      </c>
      <c r="G21" s="28">
        <f>COUNTIFS(Matches!$B$2:$B$68,"P2*",Matches!$K$2:$K$68,"Weak")</f>
        <v/>
      </c>
      <c r="H21" s="28" t="n"/>
    </row>
    <row r="22">
      <c r="A22" s="28" t="n"/>
      <c r="B22" s="28" t="inlineStr">
        <is>
          <t>T2 (after fixes)</t>
        </is>
      </c>
      <c r="C22" s="28">
        <f>COUNTIF(Matches!$B$2:$B$68,"T2*")</f>
        <v/>
      </c>
      <c r="D22" s="28">
        <f>COUNTIFS(Matches!$B$2:$B$68,"T2*",Matches!$K$2:$K$68,"Good")</f>
        <v/>
      </c>
      <c r="E22" s="28" t="n"/>
      <c r="F22" s="28">
        <f>COUNTIFS(Matches!$B$2:$B$68,"T2*",Matches!$K$2:$K$68,"OK")</f>
        <v/>
      </c>
      <c r="G22" s="28">
        <f>COUNTIFS(Matches!$B$2:$B$68,"T2*",Matches!$K$2:$K$68,"Weak")</f>
        <v/>
      </c>
      <c r="H22" s="28" t="n"/>
    </row>
    <row r="24">
      <c r="B24" s="34" t="inlineStr">
        <is>
          <t>Counts are formulas; they fill in when the file is opened in Excel, Numbers or Google Sheets.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6" customWidth="1" min="3" max="3"/>
    <col width="15" customWidth="1" min="4" max="4"/>
    <col width="7" customWidth="1" min="5" max="5"/>
    <col width="16" customWidth="1" min="6" max="6"/>
    <col width="9" customWidth="1" min="7" max="7"/>
    <col width="26" customWidth="1" min="8" max="8"/>
    <col width="26" customWidth="1" min="9" max="9"/>
    <col width="22" customWidth="1" min="10" max="10"/>
    <col width="24" customWidth="1" min="11" max="11"/>
    <col width="22" customWidth="1" min="12" max="12"/>
    <col width="14" customWidth="1" min="13" max="13"/>
    <col width="9" customWidth="1" min="14" max="14"/>
    <col width="9" customWidth="1" min="15" max="15"/>
  </cols>
  <sheetData>
    <row r="1" ht="32" customHeight="1">
      <c r="A1" s="10" t="inlineStr">
        <is>
          <t>ID</t>
        </is>
      </c>
      <c r="B1" s="10" t="inlineStr">
        <is>
          <t>Name</t>
        </is>
      </c>
      <c r="C1" s="10" t="inlineStr">
        <is>
          <t>Age</t>
        </is>
      </c>
      <c r="D1" s="10" t="inlineStr">
        <is>
          <t>Kind of week</t>
        </is>
      </c>
      <c r="E1" s="10" t="inlineStr">
        <is>
          <t>Kids</t>
        </is>
      </c>
      <c r="F1" s="10" t="inlineStr">
        <is>
          <t>Area</t>
        </is>
      </c>
      <c r="G1" s="10" t="inlineStr">
        <is>
          <t>Budget</t>
        </is>
      </c>
      <c r="H1" s="10" t="inlineStr">
        <is>
          <t>Loves</t>
        </is>
      </c>
      <c r="I1" s="10" t="inlineStr">
        <is>
          <t>Likes</t>
        </is>
      </c>
      <c r="J1" s="10" t="inlineStr">
        <is>
          <t>Is up for</t>
        </is>
      </c>
      <c r="K1" s="10" t="inlineStr">
        <is>
          <t>Not into</t>
        </is>
      </c>
      <c r="L1" s="10" t="inlineStr">
        <is>
          <t>Avoids</t>
        </is>
      </c>
      <c r="M1" s="10" t="inlineStr">
        <is>
          <t>In runs</t>
        </is>
      </c>
      <c r="N1" s="10" t="inlineStr">
        <is>
          <t>Times asked</t>
        </is>
      </c>
      <c r="O1" s="10" t="inlineStr">
        <is>
          <t>Times placed</t>
        </is>
      </c>
    </row>
    <row r="2">
      <c r="A2" s="23" t="inlineStr">
        <is>
          <t>e001</t>
        </is>
      </c>
      <c r="B2" s="23" t="inlineStr">
        <is>
          <t>Nikhil R.</t>
        </is>
      </c>
      <c r="C2" s="23" t="n">
        <v>37</v>
      </c>
      <c r="D2" s="23" t="inlineStr">
        <is>
          <t>commuter</t>
        </is>
      </c>
      <c r="E2" s="23" t="inlineStr">
        <is>
          <t>Yes</t>
        </is>
      </c>
      <c r="F2" s="23" t="inlineStr">
        <is>
          <t>Lake Sawyer</t>
        </is>
      </c>
      <c r="G2" s="23" t="inlineStr">
        <is>
          <t>low</t>
        </is>
      </c>
      <c r="H2" s="23" t="inlineStr">
        <is>
          <t>watch sports, golf, crafts</t>
        </is>
      </c>
      <c r="I2" s="23" t="inlineStr">
        <is>
          <t>-</t>
        </is>
      </c>
      <c r="J2" s="23" t="inlineStr">
        <is>
          <t>-</t>
        </is>
      </c>
      <c r="K2" s="23" t="inlineStr">
        <is>
          <t>history, book club</t>
        </is>
      </c>
      <c r="L2" s="23" t="inlineStr">
        <is>
          <t>late nights, early mornings</t>
        </is>
      </c>
      <c r="M2" s="23" t="inlineStr">
        <is>
          <t>T1, T2</t>
        </is>
      </c>
      <c r="N2" s="23" t="n">
        <v>3</v>
      </c>
      <c r="O2" s="23" t="n">
        <v>2</v>
      </c>
    </row>
    <row r="3">
      <c r="A3" s="23" t="inlineStr">
        <is>
          <t>e002</t>
        </is>
      </c>
      <c r="B3" s="23" t="inlineStr">
        <is>
          <t>Minh W.</t>
        </is>
      </c>
      <c r="C3" s="23" t="n">
        <v>26</v>
      </c>
      <c r="D3" s="23" t="inlineStr">
        <is>
          <t>remote worker</t>
        </is>
      </c>
      <c r="E3" s="23" t="inlineStr">
        <is>
          <t>No</t>
        </is>
      </c>
      <c r="F3" s="23" t="inlineStr">
        <is>
          <t>Morgan Creek</t>
        </is>
      </c>
      <c r="G3" s="23" t="inlineStr">
        <is>
          <t>free</t>
        </is>
      </c>
      <c r="H3" s="23" t="inlineStr">
        <is>
          <t>coffee, kayaking</t>
        </is>
      </c>
      <c r="I3" s="23" t="inlineStr">
        <is>
          <t>running, mountain biking</t>
        </is>
      </c>
      <c r="J3" s="23" t="inlineStr">
        <is>
          <t>-</t>
        </is>
      </c>
      <c r="K3" s="23" t="inlineStr">
        <is>
          <t>gardening, history, board games</t>
        </is>
      </c>
      <c r="L3" s="23" t="inlineStr">
        <is>
          <t>-</t>
        </is>
      </c>
      <c r="M3" s="23" t="inlineStr">
        <is>
          <t>T1, T2</t>
        </is>
      </c>
      <c r="N3" s="23" t="n">
        <v>0</v>
      </c>
      <c r="O3" s="23" t="n">
        <v>0</v>
      </c>
    </row>
    <row r="4">
      <c r="A4" s="23" t="inlineStr">
        <is>
          <t>e003</t>
        </is>
      </c>
      <c r="B4" s="23" t="inlineStr">
        <is>
          <t>Min-jun C.</t>
        </is>
      </c>
      <c r="C4" s="23" t="n">
        <v>81</v>
      </c>
      <c r="D4" s="23" t="inlineStr">
        <is>
          <t>retiree</t>
        </is>
      </c>
      <c r="E4" s="23" t="inlineStr">
        <is>
          <t>No</t>
        </is>
      </c>
      <c r="F4" s="23" t="inlineStr">
        <is>
          <t>Lawson Hills</t>
        </is>
      </c>
      <c r="G4" s="23" t="inlineStr">
        <is>
          <t>any</t>
        </is>
      </c>
      <c r="H4" s="23" t="inlineStr">
        <is>
          <t>watch sports</t>
        </is>
      </c>
      <c r="I4" s="23" t="inlineStr">
        <is>
          <t>-</t>
        </is>
      </c>
      <c r="J4" s="23" t="inlineStr">
        <is>
          <t>book club, history</t>
        </is>
      </c>
      <c r="K4" s="23" t="inlineStr">
        <is>
          <t>bmx, birding</t>
        </is>
      </c>
      <c r="L4" s="23" t="inlineStr">
        <is>
          <t>-</t>
        </is>
      </c>
      <c r="M4" s="23" t="inlineStr">
        <is>
          <t>T1, T2</t>
        </is>
      </c>
      <c r="N4" s="23" t="n">
        <v>1</v>
      </c>
      <c r="O4" s="23" t="n">
        <v>1</v>
      </c>
    </row>
    <row r="5">
      <c r="A5" s="23" t="inlineStr">
        <is>
          <t>e004</t>
        </is>
      </c>
      <c r="B5" s="23" t="inlineStr">
        <is>
          <t>Kavya L.</t>
        </is>
      </c>
      <c r="C5" s="23" t="n">
        <v>70</v>
      </c>
      <c r="D5" s="23" t="inlineStr">
        <is>
          <t>retiree</t>
        </is>
      </c>
      <c r="E5" s="23" t="inlineStr">
        <is>
          <t>No</t>
        </is>
      </c>
      <c r="F5" s="23" t="inlineStr">
        <is>
          <t>Lawson Hills</t>
        </is>
      </c>
      <c r="G5" s="23" t="inlineStr">
        <is>
          <t>low</t>
        </is>
      </c>
      <c r="H5" s="23" t="inlineStr">
        <is>
          <t>fishing, crafts</t>
        </is>
      </c>
      <c r="I5" s="23" t="inlineStr">
        <is>
          <t>golf</t>
        </is>
      </c>
      <c r="J5" s="23" t="inlineStr">
        <is>
          <t>dining</t>
        </is>
      </c>
      <c r="K5" s="23" t="inlineStr">
        <is>
          <t>hiking, kayaking, craft beer</t>
        </is>
      </c>
      <c r="L5" s="23" t="inlineStr">
        <is>
          <t>competitive, spending money</t>
        </is>
      </c>
      <c r="M5" s="23" t="inlineStr">
        <is>
          <t>T1, T2</t>
        </is>
      </c>
      <c r="N5" s="23" t="n">
        <v>0</v>
      </c>
      <c r="O5" s="23" t="n">
        <v>0</v>
      </c>
    </row>
    <row r="6">
      <c r="A6" s="23" t="inlineStr">
        <is>
          <t>e005</t>
        </is>
      </c>
      <c r="B6" s="23" t="inlineStr">
        <is>
          <t>Amy H.</t>
        </is>
      </c>
      <c r="C6" s="23" t="n">
        <v>49</v>
      </c>
      <c r="D6" s="23" t="inlineStr">
        <is>
          <t>commuter</t>
        </is>
      </c>
      <c r="E6" s="23" t="inlineStr">
        <is>
          <t>Yes</t>
        </is>
      </c>
      <c r="F6" s="23" t="inlineStr">
        <is>
          <t>Morgan Creek</t>
        </is>
      </c>
      <c r="G6" s="23" t="inlineStr">
        <is>
          <t>any</t>
        </is>
      </c>
      <c r="H6" s="23" t="inlineStr">
        <is>
          <t>running</t>
        </is>
      </c>
      <c r="I6" s="23" t="inlineStr">
        <is>
          <t>live music</t>
        </is>
      </c>
      <c r="J6" s="23" t="inlineStr">
        <is>
          <t>baseball, swimming, baking, hiking</t>
        </is>
      </c>
      <c r="K6" s="23" t="inlineStr">
        <is>
          <t>volunteering</t>
        </is>
      </c>
      <c r="L6" s="23" t="inlineStr">
        <is>
          <t>competitive</t>
        </is>
      </c>
      <c r="M6" s="23" t="inlineStr">
        <is>
          <t>T1, T2</t>
        </is>
      </c>
      <c r="N6" s="23" t="n">
        <v>1</v>
      </c>
      <c r="O6" s="23" t="n">
        <v>1</v>
      </c>
    </row>
    <row r="7">
      <c r="A7" s="23" t="inlineStr">
        <is>
          <t>e006</t>
        </is>
      </c>
      <c r="B7" s="23" t="inlineStr">
        <is>
          <t>Tyler B.</t>
        </is>
      </c>
      <c r="C7" s="23" t="n">
        <v>27</v>
      </c>
      <c r="D7" s="23" t="inlineStr">
        <is>
          <t>commuter</t>
        </is>
      </c>
      <c r="E7" s="23" t="inlineStr">
        <is>
          <t>Yes</t>
        </is>
      </c>
      <c r="F7" s="23" t="inlineStr">
        <is>
          <t>Ten Trails</t>
        </is>
      </c>
      <c r="G7" s="23" t="inlineStr">
        <is>
          <t>low</t>
        </is>
      </c>
      <c r="H7" s="23" t="inlineStr">
        <is>
          <t>-</t>
        </is>
      </c>
      <c r="I7" s="23" t="inlineStr">
        <is>
          <t>watch sports, gardening</t>
        </is>
      </c>
      <c r="J7" s="23" t="inlineStr">
        <is>
          <t>dining, baking, farmers market, swimming</t>
        </is>
      </c>
      <c r="K7" s="23" t="inlineStr">
        <is>
          <t>cooking, cards, photography</t>
        </is>
      </c>
      <c r="L7" s="23" t="inlineStr">
        <is>
          <t>loud places</t>
        </is>
      </c>
      <c r="M7" s="23" t="inlineStr">
        <is>
          <t>T1, T2</t>
        </is>
      </c>
      <c r="N7" s="23" t="n">
        <v>0</v>
      </c>
      <c r="O7" s="23" t="n">
        <v>0</v>
      </c>
    </row>
    <row r="8">
      <c r="A8" s="23" t="inlineStr">
        <is>
          <t>e007</t>
        </is>
      </c>
      <c r="B8" s="23" t="inlineStr">
        <is>
          <t>Amy A.</t>
        </is>
      </c>
      <c r="C8" s="23" t="n">
        <v>32</v>
      </c>
      <c r="D8" s="23" t="inlineStr">
        <is>
          <t>remote worker</t>
        </is>
      </c>
      <c r="E8" s="23" t="inlineStr">
        <is>
          <t>Yes</t>
        </is>
      </c>
      <c r="F8" s="23" t="inlineStr">
        <is>
          <t>Black Diamond Ridge</t>
        </is>
      </c>
      <c r="G8" s="23" t="inlineStr">
        <is>
          <t>low</t>
        </is>
      </c>
      <c r="H8" s="23" t="inlineStr">
        <is>
          <t>dining</t>
        </is>
      </c>
      <c r="I8" s="23" t="inlineStr">
        <is>
          <t>craft beer, farmers market</t>
        </is>
      </c>
      <c r="J8" s="23" t="inlineStr">
        <is>
          <t>book club</t>
        </is>
      </c>
      <c r="K8" s="23" t="inlineStr">
        <is>
          <t>trivia, photography</t>
        </is>
      </c>
      <c r="L8" s="23" t="inlineStr">
        <is>
          <t>-</t>
        </is>
      </c>
      <c r="M8" s="23" t="inlineStr">
        <is>
          <t>T1, T2</t>
        </is>
      </c>
      <c r="N8" s="23" t="n">
        <v>0</v>
      </c>
      <c r="O8" s="23" t="n">
        <v>0</v>
      </c>
    </row>
    <row r="9">
      <c r="A9" s="23" t="inlineStr">
        <is>
          <t>e008</t>
        </is>
      </c>
      <c r="B9" s="23" t="inlineStr">
        <is>
          <t>Andres G.</t>
        </is>
      </c>
      <c r="C9" s="23" t="n">
        <v>22</v>
      </c>
      <c r="D9" s="23" t="inlineStr">
        <is>
          <t>shift worker</t>
        </is>
      </c>
      <c r="E9" s="23" t="inlineStr">
        <is>
          <t>No</t>
        </is>
      </c>
      <c r="F9" s="23" t="inlineStr">
        <is>
          <t>Lawson Hills</t>
        </is>
      </c>
      <c r="G9" s="23" t="inlineStr">
        <is>
          <t>low</t>
        </is>
      </c>
      <c r="H9" s="23" t="inlineStr">
        <is>
          <t>coffee, mountain biking, hiking, baking</t>
        </is>
      </c>
      <c r="I9" s="23" t="inlineStr">
        <is>
          <t>fishing, swimming</t>
        </is>
      </c>
      <c r="J9" s="23" t="inlineStr">
        <is>
          <t>-</t>
        </is>
      </c>
      <c r="K9" s="23" t="inlineStr">
        <is>
          <t>golf</t>
        </is>
      </c>
      <c r="L9" s="23" t="inlineStr">
        <is>
          <t>long drives, loud places</t>
        </is>
      </c>
      <c r="M9" s="23" t="inlineStr">
        <is>
          <t>P1, T1, P2, T2</t>
        </is>
      </c>
      <c r="N9" s="23" t="n">
        <v>3</v>
      </c>
      <c r="O9" s="23" t="n">
        <v>2</v>
      </c>
    </row>
    <row r="10">
      <c r="A10" s="23" t="inlineStr">
        <is>
          <t>e009</t>
        </is>
      </c>
      <c r="B10" s="23" t="inlineStr">
        <is>
          <t>Sofia H.</t>
        </is>
      </c>
      <c r="C10" s="23" t="n">
        <v>38</v>
      </c>
      <c r="D10" s="23" t="inlineStr">
        <is>
          <t>remote worker</t>
        </is>
      </c>
      <c r="E10" s="23" t="inlineStr">
        <is>
          <t>Yes</t>
        </is>
      </c>
      <c r="F10" s="23" t="inlineStr">
        <is>
          <t>Ten Trails</t>
        </is>
      </c>
      <c r="G10" s="23" t="inlineStr">
        <is>
          <t>low</t>
        </is>
      </c>
      <c r="H10" s="23" t="inlineStr">
        <is>
          <t>kayaking, farmers market</t>
        </is>
      </c>
      <c r="I10" s="23" t="inlineStr">
        <is>
          <t>yoga</t>
        </is>
      </c>
      <c r="J10" s="23" t="inlineStr">
        <is>
          <t>swimming</t>
        </is>
      </c>
      <c r="K10" s="23" t="inlineStr">
        <is>
          <t>basketball, gardening, cooking</t>
        </is>
      </c>
      <c r="L10" s="23" t="inlineStr">
        <is>
          <t>early mornings</t>
        </is>
      </c>
      <c r="M10" s="23" t="inlineStr">
        <is>
          <t>T1, T2</t>
        </is>
      </c>
      <c r="N10" s="23" t="n">
        <v>0</v>
      </c>
      <c r="O10" s="23" t="n">
        <v>0</v>
      </c>
    </row>
    <row r="11">
      <c r="A11" s="23" t="inlineStr">
        <is>
          <t>e010</t>
        </is>
      </c>
      <c r="B11" s="23" t="inlineStr">
        <is>
          <t>Jim M.</t>
        </is>
      </c>
      <c r="C11" s="23" t="n">
        <v>41</v>
      </c>
      <c r="D11" s="23" t="inlineStr">
        <is>
          <t>commuter</t>
        </is>
      </c>
      <c r="E11" s="23" t="inlineStr">
        <is>
          <t>Yes</t>
        </is>
      </c>
      <c r="F11" s="23" t="inlineStr">
        <is>
          <t>Morgan Creek</t>
        </is>
      </c>
      <c r="G11" s="23" t="inlineStr">
        <is>
          <t>low</t>
        </is>
      </c>
      <c r="H11" s="23" t="inlineStr">
        <is>
          <t>farmers market</t>
        </is>
      </c>
      <c r="I11" s="23" t="inlineStr">
        <is>
          <t>pickleball, boating</t>
        </is>
      </c>
      <c r="J11" s="23" t="inlineStr">
        <is>
          <t>-</t>
        </is>
      </c>
      <c r="K11" s="23" t="inlineStr">
        <is>
          <t>kayaking, baseball, golf</t>
        </is>
      </c>
      <c r="L11" s="23" t="inlineStr">
        <is>
          <t>competitive, long drives</t>
        </is>
      </c>
      <c r="M11" s="23" t="inlineStr">
        <is>
          <t>T1, T2</t>
        </is>
      </c>
      <c r="N11" s="23" t="n">
        <v>0</v>
      </c>
      <c r="O11" s="23" t="n">
        <v>0</v>
      </c>
    </row>
    <row r="12">
      <c r="A12" s="23" t="inlineStr">
        <is>
          <t>e011</t>
        </is>
      </c>
      <c r="B12" s="23" t="inlineStr">
        <is>
          <t>Claire P.</t>
        </is>
      </c>
      <c r="C12" s="23" t="n">
        <v>24</v>
      </c>
      <c r="D12" s="23" t="inlineStr">
        <is>
          <t>student</t>
        </is>
      </c>
      <c r="E12" s="23" t="inlineStr">
        <is>
          <t>No</t>
        </is>
      </c>
      <c r="F12" s="23" t="inlineStr">
        <is>
          <t>Black Diamond Ridge</t>
        </is>
      </c>
      <c r="G12" s="23" t="inlineStr">
        <is>
          <t>low</t>
        </is>
      </c>
      <c r="H12" s="23" t="inlineStr">
        <is>
          <t>tubing, dog walks, birding</t>
        </is>
      </c>
      <c r="I12" s="23" t="inlineStr">
        <is>
          <t>swimming</t>
        </is>
      </c>
      <c r="J12" s="23" t="inlineStr">
        <is>
          <t>trivia, watch sports</t>
        </is>
      </c>
      <c r="K12" s="23" t="inlineStr">
        <is>
          <t>crafts, volunteering, farmers market</t>
        </is>
      </c>
      <c r="L12" s="23" t="inlineStr">
        <is>
          <t>-</t>
        </is>
      </c>
      <c r="M12" s="23" t="inlineStr">
        <is>
          <t>T1, T2</t>
        </is>
      </c>
      <c r="N12" s="23" t="n">
        <v>3</v>
      </c>
      <c r="O12" s="23" t="n">
        <v>3</v>
      </c>
    </row>
    <row r="13">
      <c r="A13" s="23" t="inlineStr">
        <is>
          <t>e012</t>
        </is>
      </c>
      <c r="B13" s="23" t="inlineStr">
        <is>
          <t>Emma R.</t>
        </is>
      </c>
      <c r="C13" s="23" t="n">
        <v>71</v>
      </c>
      <c r="D13" s="23" t="inlineStr">
        <is>
          <t>retiree</t>
        </is>
      </c>
      <c r="E13" s="23" t="inlineStr">
        <is>
          <t>No</t>
        </is>
      </c>
      <c r="F13" s="23" t="inlineStr">
        <is>
          <t>Morgan Creek</t>
        </is>
      </c>
      <c r="G13" s="23" t="inlineStr">
        <is>
          <t>low</t>
        </is>
      </c>
      <c r="H13" s="23" t="inlineStr">
        <is>
          <t>golf, book club, kayaking</t>
        </is>
      </c>
      <c r="I13" s="23" t="inlineStr">
        <is>
          <t>-</t>
        </is>
      </c>
      <c r="J13" s="23" t="inlineStr">
        <is>
          <t>-</t>
        </is>
      </c>
      <c r="K13" s="23" t="inlineStr">
        <is>
          <t>crafts, fishing</t>
        </is>
      </c>
      <c r="L13" s="23" t="inlineStr">
        <is>
          <t>spending money, loud places</t>
        </is>
      </c>
      <c r="M13" s="23" t="inlineStr">
        <is>
          <t>T1, T2</t>
        </is>
      </c>
      <c r="N13" s="23" t="n">
        <v>1</v>
      </c>
      <c r="O13" s="23" t="n">
        <v>1</v>
      </c>
    </row>
    <row r="14">
      <c r="A14" s="23" t="inlineStr">
        <is>
          <t>e013</t>
        </is>
      </c>
      <c r="B14" s="23" t="inlineStr">
        <is>
          <t>Mei T.</t>
        </is>
      </c>
      <c r="C14" s="23" t="n">
        <v>33</v>
      </c>
      <c r="D14" s="23" t="inlineStr">
        <is>
          <t>parent at home</t>
        </is>
      </c>
      <c r="E14" s="23" t="inlineStr">
        <is>
          <t>Yes</t>
        </is>
      </c>
      <c r="F14" s="23" t="inlineStr">
        <is>
          <t>Lawson Hills</t>
        </is>
      </c>
      <c r="G14" s="23" t="inlineStr">
        <is>
          <t>any</t>
        </is>
      </c>
      <c r="H14" s="23" t="inlineStr">
        <is>
          <t>baking, dining</t>
        </is>
      </c>
      <c r="I14" s="23" t="inlineStr">
        <is>
          <t>dog walks, baseball, swimming, volunteering</t>
        </is>
      </c>
      <c r="J14" s="23" t="inlineStr">
        <is>
          <t>-</t>
        </is>
      </c>
      <c r="K14" s="23" t="inlineStr">
        <is>
          <t>birding, photography</t>
        </is>
      </c>
      <c r="L14" s="23" t="inlineStr">
        <is>
          <t>spending money, late nights</t>
        </is>
      </c>
      <c r="M14" s="23" t="inlineStr">
        <is>
          <t>T1, T2</t>
        </is>
      </c>
      <c r="N14" s="23" t="n">
        <v>0</v>
      </c>
      <c r="O14" s="23" t="n">
        <v>0</v>
      </c>
    </row>
    <row r="15">
      <c r="A15" s="23" t="inlineStr">
        <is>
          <t>e014</t>
        </is>
      </c>
      <c r="B15" s="23" t="inlineStr">
        <is>
          <t>Paolo P.</t>
        </is>
      </c>
      <c r="C15" s="23" t="n">
        <v>37</v>
      </c>
      <c r="D15" s="23" t="inlineStr">
        <is>
          <t>parent at home</t>
        </is>
      </c>
      <c r="E15" s="23" t="inlineStr">
        <is>
          <t>Yes</t>
        </is>
      </c>
      <c r="F15" s="23" t="inlineStr">
        <is>
          <t>Lake Sawyer</t>
        </is>
      </c>
      <c r="G15" s="23" t="inlineStr">
        <is>
          <t>free</t>
        </is>
      </c>
      <c r="H15" s="23" t="inlineStr">
        <is>
          <t>history</t>
        </is>
      </c>
      <c r="I15" s="23" t="inlineStr">
        <is>
          <t>baking</t>
        </is>
      </c>
      <c r="J15" s="23" t="inlineStr">
        <is>
          <t>swimming</t>
        </is>
      </c>
      <c r="K15" s="23" t="inlineStr">
        <is>
          <t>gardening, tubing, boating</t>
        </is>
      </c>
      <c r="L15" s="23" t="inlineStr">
        <is>
          <t>spending money, competitive</t>
        </is>
      </c>
      <c r="M15" s="23" t="inlineStr">
        <is>
          <t>T1, T2</t>
        </is>
      </c>
      <c r="N15" s="23" t="n">
        <v>3</v>
      </c>
      <c r="O15" s="23" t="n">
        <v>3</v>
      </c>
    </row>
    <row r="16">
      <c r="A16" s="23" t="inlineStr">
        <is>
          <t>e015</t>
        </is>
      </c>
      <c r="B16" s="23" t="inlineStr">
        <is>
          <t>Sophia B.</t>
        </is>
      </c>
      <c r="C16" s="23" t="n">
        <v>63</v>
      </c>
      <c r="D16" s="23" t="inlineStr">
        <is>
          <t>retiree</t>
        </is>
      </c>
      <c r="E16" s="23" t="inlineStr">
        <is>
          <t>No</t>
        </is>
      </c>
      <c r="F16" s="23" t="inlineStr">
        <is>
          <t>Downtown</t>
        </is>
      </c>
      <c r="G16" s="23" t="inlineStr">
        <is>
          <t>low</t>
        </is>
      </c>
      <c r="H16" s="23" t="inlineStr">
        <is>
          <t>gardening</t>
        </is>
      </c>
      <c r="I16" s="23" t="inlineStr">
        <is>
          <t>fishing</t>
        </is>
      </c>
      <c r="J16" s="23" t="inlineStr">
        <is>
          <t>birding</t>
        </is>
      </c>
      <c r="K16" s="23" t="inlineStr">
        <is>
          <t>running</t>
        </is>
      </c>
      <c r="L16" s="23" t="inlineStr">
        <is>
          <t>competitive, early mornings</t>
        </is>
      </c>
      <c r="M16" s="23" t="inlineStr">
        <is>
          <t>T1, T2</t>
        </is>
      </c>
      <c r="N16" s="23" t="n">
        <v>0</v>
      </c>
      <c r="O16" s="23" t="n">
        <v>0</v>
      </c>
    </row>
    <row r="17">
      <c r="A17" s="23" t="inlineStr">
        <is>
          <t>e016</t>
        </is>
      </c>
      <c r="B17" s="23" t="inlineStr">
        <is>
          <t>Paige P.</t>
        </is>
      </c>
      <c r="C17" s="23" t="n">
        <v>54</v>
      </c>
      <c r="D17" s="23" t="inlineStr">
        <is>
          <t>remote worker</t>
        </is>
      </c>
      <c r="E17" s="23" t="inlineStr">
        <is>
          <t>Yes</t>
        </is>
      </c>
      <c r="F17" s="23" t="inlineStr">
        <is>
          <t>Morgan Creek</t>
        </is>
      </c>
      <c r="G17" s="23" t="inlineStr">
        <is>
          <t>any</t>
        </is>
      </c>
      <c r="H17" s="23" t="inlineStr">
        <is>
          <t>photography</t>
        </is>
      </c>
      <c r="I17" s="23" t="inlineStr">
        <is>
          <t>swimming, coffee</t>
        </is>
      </c>
      <c r="J17" s="23" t="inlineStr">
        <is>
          <t>kayaking, crafts</t>
        </is>
      </c>
      <c r="K17" s="23" t="inlineStr">
        <is>
          <t>cooking</t>
        </is>
      </c>
      <c r="L17" s="23" t="inlineStr">
        <is>
          <t>competitive, long drives</t>
        </is>
      </c>
      <c r="M17" s="23" t="inlineStr">
        <is>
          <t>T1, T2</t>
        </is>
      </c>
      <c r="N17" s="23" t="n">
        <v>2</v>
      </c>
      <c r="O17" s="23" t="n">
        <v>2</v>
      </c>
    </row>
    <row r="18">
      <c r="A18" s="23" t="inlineStr">
        <is>
          <t>e017</t>
        </is>
      </c>
      <c r="B18" s="23" t="inlineStr">
        <is>
          <t>Andre H.</t>
        </is>
      </c>
      <c r="C18" s="23" t="n">
        <v>56</v>
      </c>
      <c r="D18" s="23" t="inlineStr">
        <is>
          <t>commuter</t>
        </is>
      </c>
      <c r="E18" s="23" t="inlineStr">
        <is>
          <t>No</t>
        </is>
      </c>
      <c r="F18" s="23" t="inlineStr">
        <is>
          <t>Lawson Hills</t>
        </is>
      </c>
      <c r="G18" s="23" t="inlineStr">
        <is>
          <t>low</t>
        </is>
      </c>
      <c r="H18" s="23" t="inlineStr">
        <is>
          <t>live music, craft beer</t>
        </is>
      </c>
      <c r="I18" s="23" t="inlineStr">
        <is>
          <t>hiking, history</t>
        </is>
      </c>
      <c r="J18" s="23" t="inlineStr">
        <is>
          <t>-</t>
        </is>
      </c>
      <c r="K18" s="23" t="inlineStr">
        <is>
          <t>baking</t>
        </is>
      </c>
      <c r="L18" s="23" t="inlineStr">
        <is>
          <t>loud places</t>
        </is>
      </c>
      <c r="M18" s="23" t="inlineStr">
        <is>
          <t>T1, T2</t>
        </is>
      </c>
      <c r="N18" s="23" t="n">
        <v>0</v>
      </c>
      <c r="O18" s="23" t="n">
        <v>0</v>
      </c>
    </row>
    <row r="19">
      <c r="A19" s="23" t="inlineStr">
        <is>
          <t>e018</t>
        </is>
      </c>
      <c r="B19" s="23" t="inlineStr">
        <is>
          <t>Brian R.</t>
        </is>
      </c>
      <c r="C19" s="23" t="n">
        <v>50</v>
      </c>
      <c r="D19" s="23" t="inlineStr">
        <is>
          <t>remote worker</t>
        </is>
      </c>
      <c r="E19" s="23" t="inlineStr">
        <is>
          <t>Yes</t>
        </is>
      </c>
      <c r="F19" s="23" t="inlineStr">
        <is>
          <t>Black Diamond Ridge</t>
        </is>
      </c>
      <c r="G19" s="23" t="inlineStr">
        <is>
          <t>any</t>
        </is>
      </c>
      <c r="H19" s="23" t="inlineStr">
        <is>
          <t>kayaking</t>
        </is>
      </c>
      <c r="I19" s="23" t="inlineStr">
        <is>
          <t>coffee, picnics</t>
        </is>
      </c>
      <c r="J19" s="23" t="inlineStr">
        <is>
          <t>-</t>
        </is>
      </c>
      <c r="K19" s="23" t="inlineStr">
        <is>
          <t>hiking</t>
        </is>
      </c>
      <c r="L19" s="23" t="inlineStr">
        <is>
          <t>competitive, loud places</t>
        </is>
      </c>
      <c r="M19" s="23" t="inlineStr">
        <is>
          <t>T1, T2</t>
        </is>
      </c>
      <c r="N19" s="23" t="n">
        <v>0</v>
      </c>
      <c r="O19" s="23" t="n">
        <v>0</v>
      </c>
    </row>
    <row r="20">
      <c r="A20" s="23" t="inlineStr">
        <is>
          <t>e019</t>
        </is>
      </c>
      <c r="B20" s="23" t="inlineStr">
        <is>
          <t>Olivia R.</t>
        </is>
      </c>
      <c r="C20" s="23" t="n">
        <v>36</v>
      </c>
      <c r="D20" s="23" t="inlineStr">
        <is>
          <t>commuter</t>
        </is>
      </c>
      <c r="E20" s="23" t="inlineStr">
        <is>
          <t>Yes</t>
        </is>
      </c>
      <c r="F20" s="23" t="inlineStr">
        <is>
          <t>Downtown</t>
        </is>
      </c>
      <c r="G20" s="23" t="inlineStr">
        <is>
          <t>low</t>
        </is>
      </c>
      <c r="H20" s="23" t="inlineStr">
        <is>
          <t>pickleball, mountain biking</t>
        </is>
      </c>
      <c r="I20" s="23" t="inlineStr">
        <is>
          <t>baking, farmers market, live music</t>
        </is>
      </c>
      <c r="J20" s="23" t="inlineStr">
        <is>
          <t>-</t>
        </is>
      </c>
      <c r="K20" s="23" t="inlineStr">
        <is>
          <t>coffee, trivia, crafts</t>
        </is>
      </c>
      <c r="L20" s="23" t="inlineStr">
        <is>
          <t>loud places, late nights</t>
        </is>
      </c>
      <c r="M20" s="23" t="inlineStr">
        <is>
          <t>T1, T2</t>
        </is>
      </c>
      <c r="N20" s="23" t="n">
        <v>3</v>
      </c>
      <c r="O20" s="23" t="n">
        <v>3</v>
      </c>
    </row>
    <row r="21">
      <c r="A21" s="23" t="inlineStr">
        <is>
          <t>e020</t>
        </is>
      </c>
      <c r="B21" s="23" t="inlineStr">
        <is>
          <t>Imani M.</t>
        </is>
      </c>
      <c r="C21" s="23" t="n">
        <v>52</v>
      </c>
      <c r="D21" s="23" t="inlineStr">
        <is>
          <t>remote worker</t>
        </is>
      </c>
      <c r="E21" s="23" t="inlineStr">
        <is>
          <t>No</t>
        </is>
      </c>
      <c r="F21" s="23" t="inlineStr">
        <is>
          <t>Morgan Creek</t>
        </is>
      </c>
      <c r="G21" s="23" t="inlineStr">
        <is>
          <t>low</t>
        </is>
      </c>
      <c r="H21" s="23" t="inlineStr">
        <is>
          <t>kayaking, coffee, history</t>
        </is>
      </c>
      <c r="I21" s="23" t="inlineStr">
        <is>
          <t>hiking, yoga</t>
        </is>
      </c>
      <c r="J21" s="23" t="inlineStr">
        <is>
          <t>-</t>
        </is>
      </c>
      <c r="K21" s="23" t="inlineStr">
        <is>
          <t>mountain biking, watch sports, rc planes</t>
        </is>
      </c>
      <c r="L21" s="23" t="inlineStr">
        <is>
          <t>loud places, long drives</t>
        </is>
      </c>
      <c r="M21" s="23" t="inlineStr">
        <is>
          <t>S, T1, T2</t>
        </is>
      </c>
      <c r="N21" s="23" t="n">
        <v>4</v>
      </c>
      <c r="O21" s="23" t="n">
        <v>4</v>
      </c>
    </row>
    <row r="22">
      <c r="A22" s="23" t="inlineStr">
        <is>
          <t>e021</t>
        </is>
      </c>
      <c r="B22" s="23" t="inlineStr">
        <is>
          <t>Hunter J.</t>
        </is>
      </c>
      <c r="C22" s="23" t="n">
        <v>48</v>
      </c>
      <c r="D22" s="23" t="inlineStr">
        <is>
          <t>commuter</t>
        </is>
      </c>
      <c r="E22" s="23" t="inlineStr">
        <is>
          <t>Yes</t>
        </is>
      </c>
      <c r="F22" s="23" t="inlineStr">
        <is>
          <t>Downtown</t>
        </is>
      </c>
      <c r="G22" s="23" t="inlineStr">
        <is>
          <t>any</t>
        </is>
      </c>
      <c r="H22" s="23" t="inlineStr">
        <is>
          <t>baseball, pickleball</t>
        </is>
      </c>
      <c r="I22" s="23" t="inlineStr">
        <is>
          <t>coffee</t>
        </is>
      </c>
      <c r="J22" s="23" t="inlineStr">
        <is>
          <t>running, picnics</t>
        </is>
      </c>
      <c r="K22" s="23" t="inlineStr">
        <is>
          <t>board games, cards, boating</t>
        </is>
      </c>
      <c r="L22" s="23" t="inlineStr">
        <is>
          <t>-</t>
        </is>
      </c>
      <c r="M22" s="23" t="inlineStr">
        <is>
          <t>T1, T2</t>
        </is>
      </c>
      <c r="N22" s="23" t="n">
        <v>0</v>
      </c>
      <c r="O22" s="23" t="n">
        <v>0</v>
      </c>
    </row>
    <row r="23">
      <c r="A23" s="23" t="inlineStr">
        <is>
          <t>e022</t>
        </is>
      </c>
      <c r="B23" s="23" t="inlineStr">
        <is>
          <t>Jordan K.</t>
        </is>
      </c>
      <c r="C23" s="23" t="n">
        <v>38</v>
      </c>
      <c r="D23" s="23" t="inlineStr">
        <is>
          <t>shift worker</t>
        </is>
      </c>
      <c r="E23" s="23" t="inlineStr">
        <is>
          <t>Yes</t>
        </is>
      </c>
      <c r="F23" s="23" t="inlineStr">
        <is>
          <t>Downtown</t>
        </is>
      </c>
      <c r="G23" s="23" t="inlineStr">
        <is>
          <t>any</t>
        </is>
      </c>
      <c r="H23" s="23" t="inlineStr">
        <is>
          <t>farmers market, swimming</t>
        </is>
      </c>
      <c r="I23" s="23" t="inlineStr">
        <is>
          <t>dog walks</t>
        </is>
      </c>
      <c r="J23" s="23" t="inlineStr">
        <is>
          <t>baking</t>
        </is>
      </c>
      <c r="K23" s="23" t="inlineStr">
        <is>
          <t>board games, trivia</t>
        </is>
      </c>
      <c r="L23" s="23" t="inlineStr">
        <is>
          <t>-</t>
        </is>
      </c>
      <c r="M23" s="23" t="inlineStr">
        <is>
          <t>T1, T2</t>
        </is>
      </c>
      <c r="N23" s="23" t="n">
        <v>0</v>
      </c>
      <c r="O23" s="23" t="n">
        <v>0</v>
      </c>
    </row>
    <row r="24">
      <c r="A24" s="23" t="inlineStr">
        <is>
          <t>e023</t>
        </is>
      </c>
      <c r="B24" s="23" t="inlineStr">
        <is>
          <t>Claire F.</t>
        </is>
      </c>
      <c r="C24" s="23" t="n">
        <v>58</v>
      </c>
      <c r="D24" s="23" t="inlineStr">
        <is>
          <t>remote worker</t>
        </is>
      </c>
      <c r="E24" s="23" t="inlineStr">
        <is>
          <t>No</t>
        </is>
      </c>
      <c r="F24" s="23" t="inlineStr">
        <is>
          <t>Morgan Creek</t>
        </is>
      </c>
      <c r="G24" s="23" t="inlineStr">
        <is>
          <t>any</t>
        </is>
      </c>
      <c r="H24" s="23" t="inlineStr">
        <is>
          <t>craft beer, kayaking</t>
        </is>
      </c>
      <c r="I24" s="23" t="inlineStr">
        <is>
          <t>hiking</t>
        </is>
      </c>
      <c r="J24" s="23" t="inlineStr">
        <is>
          <t>dog walks</t>
        </is>
      </c>
      <c r="K24" s="23" t="inlineStr">
        <is>
          <t>cooking, history, coffee</t>
        </is>
      </c>
      <c r="L24" s="23" t="inlineStr">
        <is>
          <t>loud places, competitive</t>
        </is>
      </c>
      <c r="M24" s="23" t="inlineStr">
        <is>
          <t>T1, T2</t>
        </is>
      </c>
      <c r="N24" s="23" t="n">
        <v>3</v>
      </c>
      <c r="O24" s="23" t="n">
        <v>3</v>
      </c>
    </row>
    <row r="25">
      <c r="A25" s="23" t="inlineStr">
        <is>
          <t>e024</t>
        </is>
      </c>
      <c r="B25" s="23" t="inlineStr">
        <is>
          <t>Megan H.</t>
        </is>
      </c>
      <c r="C25" s="23" t="n">
        <v>54</v>
      </c>
      <c r="D25" s="23" t="inlineStr">
        <is>
          <t>remote worker</t>
        </is>
      </c>
      <c r="E25" s="23" t="inlineStr">
        <is>
          <t>Yes</t>
        </is>
      </c>
      <c r="F25" s="23" t="inlineStr">
        <is>
          <t>Ten Trails</t>
        </is>
      </c>
      <c r="G25" s="23" t="inlineStr">
        <is>
          <t>any</t>
        </is>
      </c>
      <c r="H25" s="23" t="inlineStr">
        <is>
          <t>swimming, rc planes</t>
        </is>
      </c>
      <c r="I25" s="23" t="inlineStr">
        <is>
          <t>-</t>
        </is>
      </c>
      <c r="J25" s="23" t="inlineStr">
        <is>
          <t>coffee</t>
        </is>
      </c>
      <c r="K25" s="23" t="inlineStr">
        <is>
          <t>trivia, cooking</t>
        </is>
      </c>
      <c r="L25" s="23" t="inlineStr">
        <is>
          <t>crowds, long drives</t>
        </is>
      </c>
      <c r="M25" s="23" t="inlineStr">
        <is>
          <t>T1, T2</t>
        </is>
      </c>
      <c r="N25" s="23" t="n">
        <v>0</v>
      </c>
      <c r="O25" s="23" t="n">
        <v>0</v>
      </c>
    </row>
    <row r="26">
      <c r="A26" s="23" t="inlineStr">
        <is>
          <t>e025</t>
        </is>
      </c>
      <c r="B26" s="23" t="inlineStr">
        <is>
          <t>Isabel R.</t>
        </is>
      </c>
      <c r="C26" s="23" t="n">
        <v>74</v>
      </c>
      <c r="D26" s="23" t="inlineStr">
        <is>
          <t>retiree</t>
        </is>
      </c>
      <c r="E26" s="23" t="inlineStr">
        <is>
          <t>No</t>
        </is>
      </c>
      <c r="F26" s="23" t="inlineStr">
        <is>
          <t>Downtown</t>
        </is>
      </c>
      <c r="G26" s="23" t="inlineStr">
        <is>
          <t>any</t>
        </is>
      </c>
      <c r="H26" s="23" t="inlineStr">
        <is>
          <t>fishing, picnics</t>
        </is>
      </c>
      <c r="I26" s="23" t="inlineStr">
        <is>
          <t>crafts</t>
        </is>
      </c>
      <c r="J26" s="23" t="inlineStr">
        <is>
          <t>-</t>
        </is>
      </c>
      <c r="K26" s="23" t="inlineStr">
        <is>
          <t>craft beer</t>
        </is>
      </c>
      <c r="L26" s="23" t="inlineStr">
        <is>
          <t>loud places</t>
        </is>
      </c>
      <c r="M26" s="23" t="inlineStr">
        <is>
          <t>T1, T2</t>
        </is>
      </c>
      <c r="N26" s="23" t="n">
        <v>2</v>
      </c>
      <c r="O26" s="23" t="n">
        <v>2</v>
      </c>
    </row>
    <row r="27">
      <c r="A27" s="23" t="inlineStr">
        <is>
          <t>e026</t>
        </is>
      </c>
      <c r="B27" s="23" t="inlineStr">
        <is>
          <t>Wei C.</t>
        </is>
      </c>
      <c r="C27" s="23" t="n">
        <v>52</v>
      </c>
      <c r="D27" s="23" t="inlineStr">
        <is>
          <t>parent at home</t>
        </is>
      </c>
      <c r="E27" s="23" t="inlineStr">
        <is>
          <t>Yes</t>
        </is>
      </c>
      <c r="F27" s="23" t="inlineStr">
        <is>
          <t>Lake Sawyer</t>
        </is>
      </c>
      <c r="G27" s="23" t="inlineStr">
        <is>
          <t>free</t>
        </is>
      </c>
      <c r="H27" s="23" t="inlineStr">
        <is>
          <t>farmers market</t>
        </is>
      </c>
      <c r="I27" s="23" t="inlineStr">
        <is>
          <t>baseball</t>
        </is>
      </c>
      <c r="J27" s="23" t="inlineStr">
        <is>
          <t>book club</t>
        </is>
      </c>
      <c r="K27" s="23" t="inlineStr">
        <is>
          <t>watch sports, pickleball, baking</t>
        </is>
      </c>
      <c r="L27" s="23" t="inlineStr">
        <is>
          <t>spending money</t>
        </is>
      </c>
      <c r="M27" s="23" t="inlineStr">
        <is>
          <t>T1, T2</t>
        </is>
      </c>
      <c r="N27" s="23" t="n">
        <v>0</v>
      </c>
      <c r="O27" s="23" t="n">
        <v>0</v>
      </c>
    </row>
    <row r="28">
      <c r="A28" s="23" t="inlineStr">
        <is>
          <t>e027</t>
        </is>
      </c>
      <c r="B28" s="23" t="inlineStr">
        <is>
          <t>Ananya T.</t>
        </is>
      </c>
      <c r="C28" s="23" t="n">
        <v>19</v>
      </c>
      <c r="D28" s="23" t="inlineStr">
        <is>
          <t>student</t>
        </is>
      </c>
      <c r="E28" s="23" t="inlineStr">
        <is>
          <t>No</t>
        </is>
      </c>
      <c r="F28" s="23" t="inlineStr">
        <is>
          <t>Morgan Creek</t>
        </is>
      </c>
      <c r="G28" s="23" t="inlineStr">
        <is>
          <t>any</t>
        </is>
      </c>
      <c r="H28" s="23" t="inlineStr">
        <is>
          <t>volunteering</t>
        </is>
      </c>
      <c r="I28" s="23" t="inlineStr">
        <is>
          <t>-</t>
        </is>
      </c>
      <c r="J28" s="23" t="inlineStr">
        <is>
          <t>watch sports, tubing</t>
        </is>
      </c>
      <c r="K28" s="23" t="inlineStr">
        <is>
          <t>coffee</t>
        </is>
      </c>
      <c r="L28" s="23" t="inlineStr">
        <is>
          <t>crowds, competitive</t>
        </is>
      </c>
      <c r="M28" s="23" t="inlineStr">
        <is>
          <t>T1, T2</t>
        </is>
      </c>
      <c r="N28" s="23" t="n">
        <v>1</v>
      </c>
      <c r="O28" s="23" t="n">
        <v>1</v>
      </c>
    </row>
    <row r="29">
      <c r="A29" s="23" t="inlineStr">
        <is>
          <t>e028</t>
        </is>
      </c>
      <c r="B29" s="23" t="inlineStr">
        <is>
          <t>Mei S.</t>
        </is>
      </c>
      <c r="C29" s="23" t="n">
        <v>57</v>
      </c>
      <c r="D29" s="23" t="inlineStr">
        <is>
          <t>shift worker</t>
        </is>
      </c>
      <c r="E29" s="23" t="inlineStr">
        <is>
          <t>No</t>
        </is>
      </c>
      <c r="F29" s="23" t="inlineStr">
        <is>
          <t>Ten Trails</t>
        </is>
      </c>
      <c r="G29" s="23" t="inlineStr">
        <is>
          <t>any</t>
        </is>
      </c>
      <c r="H29" s="23" t="inlineStr">
        <is>
          <t>coffee</t>
        </is>
      </c>
      <c r="I29" s="23" t="inlineStr">
        <is>
          <t>mountain biking, yoga</t>
        </is>
      </c>
      <c r="J29" s="23" t="inlineStr">
        <is>
          <t>watch sports</t>
        </is>
      </c>
      <c r="K29" s="23" t="inlineStr">
        <is>
          <t>trivia, swimming, cards</t>
        </is>
      </c>
      <c r="L29" s="23" t="inlineStr">
        <is>
          <t>-</t>
        </is>
      </c>
      <c r="M29" s="23" t="inlineStr">
        <is>
          <t>T1, T2</t>
        </is>
      </c>
      <c r="N29" s="23" t="n">
        <v>0</v>
      </c>
      <c r="O29" s="23" t="n">
        <v>0</v>
      </c>
    </row>
    <row r="30">
      <c r="A30" s="23" t="inlineStr">
        <is>
          <t>e029</t>
        </is>
      </c>
      <c r="B30" s="23" t="inlineStr">
        <is>
          <t>Yuki P.</t>
        </is>
      </c>
      <c r="C30" s="23" t="n">
        <v>62</v>
      </c>
      <c r="D30" s="23" t="inlineStr">
        <is>
          <t>remote worker</t>
        </is>
      </c>
      <c r="E30" s="23" t="inlineStr">
        <is>
          <t>No</t>
        </is>
      </c>
      <c r="F30" s="23" t="inlineStr">
        <is>
          <t>Downtown</t>
        </is>
      </c>
      <c r="G30" s="23" t="inlineStr">
        <is>
          <t>any</t>
        </is>
      </c>
      <c r="H30" s="23" t="inlineStr">
        <is>
          <t>coffee, baseball</t>
        </is>
      </c>
      <c r="I30" s="23" t="inlineStr">
        <is>
          <t>running</t>
        </is>
      </c>
      <c r="J30" s="23" t="inlineStr">
        <is>
          <t>kayaking</t>
        </is>
      </c>
      <c r="K30" s="23" t="inlineStr">
        <is>
          <t>basketball, gardening</t>
        </is>
      </c>
      <c r="L30" s="23" t="inlineStr">
        <is>
          <t>late nights, competitive</t>
        </is>
      </c>
      <c r="M30" s="23" t="inlineStr">
        <is>
          <t>T1, T2</t>
        </is>
      </c>
      <c r="N30" s="23" t="n">
        <v>1</v>
      </c>
      <c r="O30" s="23" t="n">
        <v>1</v>
      </c>
    </row>
    <row r="31">
      <c r="A31" s="23" t="inlineStr">
        <is>
          <t>e030</t>
        </is>
      </c>
      <c r="B31" s="23" t="inlineStr">
        <is>
          <t>Wei W.</t>
        </is>
      </c>
      <c r="C31" s="23" t="n">
        <v>46</v>
      </c>
      <c r="D31" s="23" t="inlineStr">
        <is>
          <t>commuter</t>
        </is>
      </c>
      <c r="E31" s="23" t="inlineStr">
        <is>
          <t>Yes</t>
        </is>
      </c>
      <c r="F31" s="23" t="inlineStr">
        <is>
          <t>Downtown</t>
        </is>
      </c>
      <c r="G31" s="23" t="inlineStr">
        <is>
          <t>any</t>
        </is>
      </c>
      <c r="H31" s="23" t="inlineStr">
        <is>
          <t>watch sports, farmers market</t>
        </is>
      </c>
      <c r="I31" s="23" t="inlineStr">
        <is>
          <t>kayaking, craft beer</t>
        </is>
      </c>
      <c r="J31" s="23" t="inlineStr">
        <is>
          <t>hiking, live music</t>
        </is>
      </c>
      <c r="K31" s="23" t="inlineStr">
        <is>
          <t>coffee, dining, board games</t>
        </is>
      </c>
      <c r="L31" s="23" t="inlineStr">
        <is>
          <t>loud places</t>
        </is>
      </c>
      <c r="M31" s="23" t="inlineStr">
        <is>
          <t>T1, T2</t>
        </is>
      </c>
      <c r="N31" s="23" t="n">
        <v>0</v>
      </c>
      <c r="O31" s="23" t="n">
        <v>0</v>
      </c>
    </row>
    <row r="32">
      <c r="A32" s="23" t="inlineStr">
        <is>
          <t>e031</t>
        </is>
      </c>
      <c r="B32" s="23" t="inlineStr">
        <is>
          <t>Imani B.</t>
        </is>
      </c>
      <c r="C32" s="23" t="n">
        <v>36</v>
      </c>
      <c r="D32" s="23" t="inlineStr">
        <is>
          <t>commuter</t>
        </is>
      </c>
      <c r="E32" s="23" t="inlineStr">
        <is>
          <t>No</t>
        </is>
      </c>
      <c r="F32" s="23" t="inlineStr">
        <is>
          <t>Morgan Creek</t>
        </is>
      </c>
      <c r="G32" s="23" t="inlineStr">
        <is>
          <t>low</t>
        </is>
      </c>
      <c r="H32" s="23" t="inlineStr">
        <is>
          <t>craft beer, pickleball, hiking, tubing</t>
        </is>
      </c>
      <c r="I32" s="23" t="inlineStr">
        <is>
          <t>rc planes</t>
        </is>
      </c>
      <c r="J32" s="23" t="inlineStr">
        <is>
          <t>golf</t>
        </is>
      </c>
      <c r="K32" s="23" t="inlineStr">
        <is>
          <t>trivia</t>
        </is>
      </c>
      <c r="L32" s="23" t="inlineStr">
        <is>
          <t>competitive, early mornings</t>
        </is>
      </c>
      <c r="M32" s="23" t="inlineStr">
        <is>
          <t>T1, T2</t>
        </is>
      </c>
      <c r="N32" s="23" t="n">
        <v>1</v>
      </c>
      <c r="O32" s="23" t="n">
        <v>1</v>
      </c>
    </row>
    <row r="33">
      <c r="A33" s="23" t="inlineStr">
        <is>
          <t>e032</t>
        </is>
      </c>
      <c r="B33" s="23" t="inlineStr">
        <is>
          <t>Ava N.</t>
        </is>
      </c>
      <c r="C33" s="23" t="n">
        <v>42</v>
      </c>
      <c r="D33" s="23" t="inlineStr">
        <is>
          <t>commuter</t>
        </is>
      </c>
      <c r="E33" s="23" t="inlineStr">
        <is>
          <t>No</t>
        </is>
      </c>
      <c r="F33" s="23" t="inlineStr">
        <is>
          <t>Lawson Hills</t>
        </is>
      </c>
      <c r="G33" s="23" t="inlineStr">
        <is>
          <t>low</t>
        </is>
      </c>
      <c r="H33" s="23" t="inlineStr">
        <is>
          <t>running</t>
        </is>
      </c>
      <c r="I33" s="23" t="inlineStr">
        <is>
          <t>golf, pickleball, dining, live music, gardening</t>
        </is>
      </c>
      <c r="J33" s="23" t="inlineStr">
        <is>
          <t>-</t>
        </is>
      </c>
      <c r="K33" s="23" t="inlineStr">
        <is>
          <t>hiking, volunteering</t>
        </is>
      </c>
      <c r="L33" s="23" t="inlineStr">
        <is>
          <t>late nights, spending money</t>
        </is>
      </c>
      <c r="M33" s="23" t="inlineStr">
        <is>
          <t>T1, T2</t>
        </is>
      </c>
      <c r="N33" s="23" t="n">
        <v>2</v>
      </c>
      <c r="O33" s="23" t="n">
        <v>2</v>
      </c>
    </row>
    <row r="34">
      <c r="A34" s="23" t="inlineStr">
        <is>
          <t>e033</t>
        </is>
      </c>
      <c r="B34" s="23" t="inlineStr">
        <is>
          <t>Angelica P.</t>
        </is>
      </c>
      <c r="C34" s="23" t="n">
        <v>51</v>
      </c>
      <c r="D34" s="23" t="inlineStr">
        <is>
          <t>commuter</t>
        </is>
      </c>
      <c r="E34" s="23" t="inlineStr">
        <is>
          <t>No</t>
        </is>
      </c>
      <c r="F34" s="23" t="inlineStr">
        <is>
          <t>Lawson Hills</t>
        </is>
      </c>
      <c r="G34" s="23" t="inlineStr">
        <is>
          <t>low</t>
        </is>
      </c>
      <c r="H34" s="23" t="inlineStr">
        <is>
          <t>live music</t>
        </is>
      </c>
      <c r="I34" s="23" t="inlineStr">
        <is>
          <t>dining, craft beer, hiking</t>
        </is>
      </c>
      <c r="J34" s="23" t="inlineStr">
        <is>
          <t>photography</t>
        </is>
      </c>
      <c r="K34" s="23" t="inlineStr">
        <is>
          <t>board games, watch sports, baseball</t>
        </is>
      </c>
      <c r="L34" s="23" t="inlineStr">
        <is>
          <t>-</t>
        </is>
      </c>
      <c r="M34" s="23" t="inlineStr">
        <is>
          <t>T1, T2</t>
        </is>
      </c>
      <c r="N34" s="23" t="n">
        <v>2</v>
      </c>
      <c r="O34" s="23" t="n">
        <v>2</v>
      </c>
    </row>
    <row r="35">
      <c r="A35" s="23" t="inlineStr">
        <is>
          <t>e034</t>
        </is>
      </c>
      <c r="B35" s="23" t="inlineStr">
        <is>
          <t>Dave C.</t>
        </is>
      </c>
      <c r="C35" s="23" t="n">
        <v>20</v>
      </c>
      <c r="D35" s="23" t="inlineStr">
        <is>
          <t>student</t>
        </is>
      </c>
      <c r="E35" s="23" t="inlineStr">
        <is>
          <t>No</t>
        </is>
      </c>
      <c r="F35" s="23" t="inlineStr">
        <is>
          <t>Morgan Creek</t>
        </is>
      </c>
      <c r="G35" s="23" t="inlineStr">
        <is>
          <t>any</t>
        </is>
      </c>
      <c r="H35" s="23" t="inlineStr">
        <is>
          <t>board games, swimming</t>
        </is>
      </c>
      <c r="I35" s="23" t="inlineStr">
        <is>
          <t>cooking</t>
        </is>
      </c>
      <c r="J35" s="23" t="inlineStr">
        <is>
          <t>tubing, boating</t>
        </is>
      </c>
      <c r="K35" s="23" t="inlineStr">
        <is>
          <t>baseball</t>
        </is>
      </c>
      <c r="L35" s="23" t="inlineStr">
        <is>
          <t>-</t>
        </is>
      </c>
      <c r="M35" s="23" t="inlineStr">
        <is>
          <t>T1, T2</t>
        </is>
      </c>
      <c r="N35" s="23" t="n">
        <v>0</v>
      </c>
      <c r="O35" s="23" t="n">
        <v>0</v>
      </c>
    </row>
    <row r="36">
      <c r="A36" s="23" t="inlineStr">
        <is>
          <t>e035</t>
        </is>
      </c>
      <c r="B36" s="23" t="inlineStr">
        <is>
          <t>Mark C.</t>
        </is>
      </c>
      <c r="C36" s="23" t="n">
        <v>44</v>
      </c>
      <c r="D36" s="23" t="inlineStr">
        <is>
          <t>shift worker</t>
        </is>
      </c>
      <c r="E36" s="23" t="inlineStr">
        <is>
          <t>Yes</t>
        </is>
      </c>
      <c r="F36" s="23" t="inlineStr">
        <is>
          <t>Downtown</t>
        </is>
      </c>
      <c r="G36" s="23" t="inlineStr">
        <is>
          <t>low</t>
        </is>
      </c>
      <c r="H36" s="23" t="inlineStr">
        <is>
          <t>coffee</t>
        </is>
      </c>
      <c r="I36" s="23" t="inlineStr">
        <is>
          <t>baking, picnics</t>
        </is>
      </c>
      <c r="J36" s="23" t="inlineStr">
        <is>
          <t>dog walks, board games</t>
        </is>
      </c>
      <c r="K36" s="23" t="inlineStr">
        <is>
          <t>dining, photography</t>
        </is>
      </c>
      <c r="L36" s="23" t="inlineStr">
        <is>
          <t>-</t>
        </is>
      </c>
      <c r="M36" s="23" t="inlineStr">
        <is>
          <t>P1, T1, P2, T2</t>
        </is>
      </c>
      <c r="N36" s="23" t="n">
        <v>5</v>
      </c>
      <c r="O36" s="23" t="n">
        <v>3</v>
      </c>
    </row>
    <row r="37">
      <c r="A37" s="23" t="inlineStr">
        <is>
          <t>e036</t>
        </is>
      </c>
      <c r="B37" s="23" t="inlineStr">
        <is>
          <t>Tom B.</t>
        </is>
      </c>
      <c r="C37" s="23" t="n">
        <v>73</v>
      </c>
      <c r="D37" s="23" t="inlineStr">
        <is>
          <t>retiree</t>
        </is>
      </c>
      <c r="E37" s="23" t="inlineStr">
        <is>
          <t>No</t>
        </is>
      </c>
      <c r="F37" s="23" t="inlineStr">
        <is>
          <t>Ten Trails</t>
        </is>
      </c>
      <c r="G37" s="23" t="inlineStr">
        <is>
          <t>any</t>
        </is>
      </c>
      <c r="H37" s="23" t="inlineStr">
        <is>
          <t>volunteering, yoga</t>
        </is>
      </c>
      <c r="I37" s="23" t="inlineStr">
        <is>
          <t>birding, trivia</t>
        </is>
      </c>
      <c r="J37" s="23" t="inlineStr">
        <is>
          <t>history</t>
        </is>
      </c>
      <c r="K37" s="23" t="inlineStr">
        <is>
          <t>live music, bmx, kayaking</t>
        </is>
      </c>
      <c r="L37" s="23" t="inlineStr">
        <is>
          <t>-</t>
        </is>
      </c>
      <c r="M37" s="23" t="inlineStr">
        <is>
          <t>T1, T2</t>
        </is>
      </c>
      <c r="N37" s="23" t="n">
        <v>1</v>
      </c>
      <c r="O37" s="23" t="n">
        <v>1</v>
      </c>
    </row>
    <row r="38">
      <c r="A38" s="23" t="inlineStr">
        <is>
          <t>e037</t>
        </is>
      </c>
      <c r="B38" s="23" t="inlineStr">
        <is>
          <t>Steve N.</t>
        </is>
      </c>
      <c r="C38" s="23" t="n">
        <v>37</v>
      </c>
      <c r="D38" s="23" t="inlineStr">
        <is>
          <t>shift worker</t>
        </is>
      </c>
      <c r="E38" s="23" t="inlineStr">
        <is>
          <t>Yes</t>
        </is>
      </c>
      <c r="F38" s="23" t="inlineStr">
        <is>
          <t>Black Diamond Ridge</t>
        </is>
      </c>
      <c r="G38" s="23" t="inlineStr">
        <is>
          <t>any</t>
        </is>
      </c>
      <c r="H38" s="23" t="inlineStr">
        <is>
          <t>fishing, live music</t>
        </is>
      </c>
      <c r="I38" s="23" t="inlineStr">
        <is>
          <t>craft beer, coffee</t>
        </is>
      </c>
      <c r="J38" s="23" t="inlineStr">
        <is>
          <t>-</t>
        </is>
      </c>
      <c r="K38" s="23" t="inlineStr">
        <is>
          <t>picnics, yoga, mountain biking</t>
        </is>
      </c>
      <c r="L38" s="23" t="inlineStr">
        <is>
          <t>competitive, crowds</t>
        </is>
      </c>
      <c r="M38" s="23" t="inlineStr">
        <is>
          <t>T1, T2</t>
        </is>
      </c>
      <c r="N38" s="23" t="n">
        <v>2</v>
      </c>
      <c r="O38" s="23" t="n">
        <v>2</v>
      </c>
    </row>
    <row r="39">
      <c r="A39" s="23" t="inlineStr">
        <is>
          <t>e038</t>
        </is>
      </c>
      <c r="B39" s="23" t="inlineStr">
        <is>
          <t>Ron B.</t>
        </is>
      </c>
      <c r="C39" s="23" t="n">
        <v>58</v>
      </c>
      <c r="D39" s="23" t="inlineStr">
        <is>
          <t>retiree</t>
        </is>
      </c>
      <c r="E39" s="23" t="inlineStr">
        <is>
          <t>No</t>
        </is>
      </c>
      <c r="F39" s="23" t="inlineStr">
        <is>
          <t>Black Diamond Ridge</t>
        </is>
      </c>
      <c r="G39" s="23" t="inlineStr">
        <is>
          <t>any</t>
        </is>
      </c>
      <c r="H39" s="23" t="inlineStr">
        <is>
          <t>volunteering, birding, book club</t>
        </is>
      </c>
      <c r="I39" s="23" t="inlineStr">
        <is>
          <t>cards, photography, yoga</t>
        </is>
      </c>
      <c r="J39" s="23" t="inlineStr">
        <is>
          <t>-</t>
        </is>
      </c>
      <c r="K39" s="23" t="inlineStr">
        <is>
          <t>cooking</t>
        </is>
      </c>
      <c r="L39" s="23" t="inlineStr">
        <is>
          <t>-</t>
        </is>
      </c>
      <c r="M39" s="23" t="inlineStr">
        <is>
          <t>P1, T1, P2, T2</t>
        </is>
      </c>
      <c r="N39" s="23" t="n">
        <v>6</v>
      </c>
      <c r="O39" s="23" t="n">
        <v>5</v>
      </c>
    </row>
    <row r="40">
      <c r="A40" s="23" t="inlineStr">
        <is>
          <t>e039</t>
        </is>
      </c>
      <c r="B40" s="23" t="inlineStr">
        <is>
          <t>Liam A.</t>
        </is>
      </c>
      <c r="C40" s="23" t="n">
        <v>78</v>
      </c>
      <c r="D40" s="23" t="inlineStr">
        <is>
          <t>retiree</t>
        </is>
      </c>
      <c r="E40" s="23" t="inlineStr">
        <is>
          <t>No</t>
        </is>
      </c>
      <c r="F40" s="23" t="inlineStr">
        <is>
          <t>Morgan Creek</t>
        </is>
      </c>
      <c r="G40" s="23" t="inlineStr">
        <is>
          <t>any</t>
        </is>
      </c>
      <c r="H40" s="23" t="inlineStr">
        <is>
          <t>cards, picnics</t>
        </is>
      </c>
      <c r="I40" s="23" t="inlineStr">
        <is>
          <t>gardening</t>
        </is>
      </c>
      <c r="J40" s="23" t="inlineStr">
        <is>
          <t>birding, volunteering</t>
        </is>
      </c>
      <c r="K40" s="23" t="inlineStr">
        <is>
          <t>live music</t>
        </is>
      </c>
      <c r="L40" s="23" t="inlineStr">
        <is>
          <t>-</t>
        </is>
      </c>
      <c r="M40" s="23" t="inlineStr">
        <is>
          <t>T1, T2</t>
        </is>
      </c>
      <c r="N40" s="23" t="n">
        <v>1</v>
      </c>
      <c r="O40" s="23" t="n">
        <v>1</v>
      </c>
    </row>
    <row r="41">
      <c r="A41" s="23" t="inlineStr">
        <is>
          <t>e040</t>
        </is>
      </c>
      <c r="B41" s="23" t="inlineStr">
        <is>
          <t>Linda A.</t>
        </is>
      </c>
      <c r="C41" s="23" t="n">
        <v>57</v>
      </c>
      <c r="D41" s="23" t="inlineStr">
        <is>
          <t>commuter</t>
        </is>
      </c>
      <c r="E41" s="23" t="inlineStr">
        <is>
          <t>No</t>
        </is>
      </c>
      <c r="F41" s="23" t="inlineStr">
        <is>
          <t>Morgan Creek</t>
        </is>
      </c>
      <c r="G41" s="23" t="inlineStr">
        <is>
          <t>any</t>
        </is>
      </c>
      <c r="H41" s="23" t="inlineStr">
        <is>
          <t>-</t>
        </is>
      </c>
      <c r="I41" s="23" t="inlineStr">
        <is>
          <t>running, mountain biking</t>
        </is>
      </c>
      <c r="J41" s="23" t="inlineStr">
        <is>
          <t>watch sports</t>
        </is>
      </c>
      <c r="K41" s="23" t="inlineStr">
        <is>
          <t>birding, history</t>
        </is>
      </c>
      <c r="L41" s="23" t="inlineStr">
        <is>
          <t>early mornings</t>
        </is>
      </c>
      <c r="M41" s="23" t="inlineStr">
        <is>
          <t>T1, T2</t>
        </is>
      </c>
      <c r="N41" s="23" t="n">
        <v>0</v>
      </c>
      <c r="O41" s="23" t="n">
        <v>0</v>
      </c>
    </row>
    <row r="42">
      <c r="A42" s="23" t="inlineStr">
        <is>
          <t>e041</t>
        </is>
      </c>
      <c r="B42" s="23" t="inlineStr">
        <is>
          <t>Imani O.</t>
        </is>
      </c>
      <c r="C42" s="23" t="n">
        <v>40</v>
      </c>
      <c r="D42" s="23" t="inlineStr">
        <is>
          <t>parent at home</t>
        </is>
      </c>
      <c r="E42" s="23" t="inlineStr">
        <is>
          <t>Yes</t>
        </is>
      </c>
      <c r="F42" s="23" t="inlineStr">
        <is>
          <t>Black Diamond Ridge</t>
        </is>
      </c>
      <c r="G42" s="23" t="inlineStr">
        <is>
          <t>low</t>
        </is>
      </c>
      <c r="H42" s="23" t="inlineStr">
        <is>
          <t>coffee, hiking</t>
        </is>
      </c>
      <c r="I42" s="23" t="inlineStr">
        <is>
          <t>farmers market</t>
        </is>
      </c>
      <c r="J42" s="23" t="inlineStr">
        <is>
          <t>-</t>
        </is>
      </c>
      <c r="K42" s="23" t="inlineStr">
        <is>
          <t>baseball, craft beer, rc planes</t>
        </is>
      </c>
      <c r="L42" s="23" t="inlineStr">
        <is>
          <t>long drives</t>
        </is>
      </c>
      <c r="M42" s="23" t="inlineStr">
        <is>
          <t>P1, T1, P2, T2</t>
        </is>
      </c>
      <c r="N42" s="23" t="n">
        <v>5</v>
      </c>
      <c r="O42" s="23" t="n">
        <v>4</v>
      </c>
    </row>
    <row r="43">
      <c r="A43" s="23" t="inlineStr">
        <is>
          <t>e042</t>
        </is>
      </c>
      <c r="B43" s="23" t="inlineStr">
        <is>
          <t>Elena R.</t>
        </is>
      </c>
      <c r="C43" s="23" t="n">
        <v>57</v>
      </c>
      <c r="D43" s="23" t="inlineStr">
        <is>
          <t>commuter</t>
        </is>
      </c>
      <c r="E43" s="23" t="inlineStr">
        <is>
          <t>No</t>
        </is>
      </c>
      <c r="F43" s="23" t="inlineStr">
        <is>
          <t>Black Diamond Ridge</t>
        </is>
      </c>
      <c r="G43" s="23" t="inlineStr">
        <is>
          <t>any</t>
        </is>
      </c>
      <c r="H43" s="23" t="inlineStr">
        <is>
          <t>running, swimming</t>
        </is>
      </c>
      <c r="I43" s="23" t="inlineStr">
        <is>
          <t>golf</t>
        </is>
      </c>
      <c r="J43" s="23" t="inlineStr">
        <is>
          <t>-</t>
        </is>
      </c>
      <c r="K43" s="23" t="inlineStr">
        <is>
          <t>baseball, crafts</t>
        </is>
      </c>
      <c r="L43" s="23" t="inlineStr">
        <is>
          <t>spending money, competitive</t>
        </is>
      </c>
      <c r="M43" s="23" t="inlineStr">
        <is>
          <t>T1, T2</t>
        </is>
      </c>
      <c r="N43" s="23" t="n">
        <v>0</v>
      </c>
      <c r="O43" s="23" t="n">
        <v>0</v>
      </c>
    </row>
    <row r="44">
      <c r="A44" s="23" t="inlineStr">
        <is>
          <t>e043</t>
        </is>
      </c>
      <c r="B44" s="23" t="inlineStr">
        <is>
          <t>Quinn J.</t>
        </is>
      </c>
      <c r="C44" s="23" t="n">
        <v>49</v>
      </c>
      <c r="D44" s="23" t="inlineStr">
        <is>
          <t>commuter</t>
        </is>
      </c>
      <c r="E44" s="23" t="inlineStr">
        <is>
          <t>No</t>
        </is>
      </c>
      <c r="F44" s="23" t="inlineStr">
        <is>
          <t>Downtown</t>
        </is>
      </c>
      <c r="G44" s="23" t="inlineStr">
        <is>
          <t>low</t>
        </is>
      </c>
      <c r="H44" s="23" t="inlineStr">
        <is>
          <t>pickleball</t>
        </is>
      </c>
      <c r="I44" s="23" t="inlineStr">
        <is>
          <t>running, watch sports, baseball</t>
        </is>
      </c>
      <c r="J44" s="23" t="inlineStr">
        <is>
          <t>-</t>
        </is>
      </c>
      <c r="K44" s="23" t="inlineStr">
        <is>
          <t>rc planes</t>
        </is>
      </c>
      <c r="L44" s="23" t="inlineStr">
        <is>
          <t>spending money</t>
        </is>
      </c>
      <c r="M44" s="23" t="inlineStr">
        <is>
          <t>P1, T1, P2, T2</t>
        </is>
      </c>
      <c r="N44" s="23" t="n">
        <v>8</v>
      </c>
      <c r="O44" s="23" t="n">
        <v>7</v>
      </c>
    </row>
    <row r="45">
      <c r="A45" s="23" t="inlineStr">
        <is>
          <t>e044</t>
        </is>
      </c>
      <c r="B45" s="23" t="inlineStr">
        <is>
          <t>Rachel B.</t>
        </is>
      </c>
      <c r="C45" s="23" t="n">
        <v>61</v>
      </c>
      <c r="D45" s="23" t="inlineStr">
        <is>
          <t>retiree</t>
        </is>
      </c>
      <c r="E45" s="23" t="inlineStr">
        <is>
          <t>No</t>
        </is>
      </c>
      <c r="F45" s="23" t="inlineStr">
        <is>
          <t>Lawson Hills</t>
        </is>
      </c>
      <c r="G45" s="23" t="inlineStr">
        <is>
          <t>any</t>
        </is>
      </c>
      <c r="H45" s="23" t="inlineStr">
        <is>
          <t>picnics</t>
        </is>
      </c>
      <c r="I45" s="23" t="inlineStr">
        <is>
          <t>golf, book club, cards</t>
        </is>
      </c>
      <c r="J45" s="23" t="inlineStr">
        <is>
          <t>-</t>
        </is>
      </c>
      <c r="K45" s="23" t="inlineStr">
        <is>
          <t>basketball, craft beer</t>
        </is>
      </c>
      <c r="L45" s="23" t="inlineStr">
        <is>
          <t>-</t>
        </is>
      </c>
      <c r="M45" s="23" t="inlineStr">
        <is>
          <t>T1, T2</t>
        </is>
      </c>
      <c r="N45" s="23" t="n">
        <v>0</v>
      </c>
      <c r="O45" s="23" t="n">
        <v>0</v>
      </c>
    </row>
    <row r="46">
      <c r="A46" s="23" t="inlineStr">
        <is>
          <t>e045</t>
        </is>
      </c>
      <c r="B46" s="23" t="inlineStr">
        <is>
          <t>Nora P.</t>
        </is>
      </c>
      <c r="C46" s="23" t="n">
        <v>29</v>
      </c>
      <c r="D46" s="23" t="inlineStr">
        <is>
          <t>shift worker</t>
        </is>
      </c>
      <c r="E46" s="23" t="inlineStr">
        <is>
          <t>No</t>
        </is>
      </c>
      <c r="F46" s="23" t="inlineStr">
        <is>
          <t>Lawson Hills</t>
        </is>
      </c>
      <c r="G46" s="23" t="inlineStr">
        <is>
          <t>any</t>
        </is>
      </c>
      <c r="H46" s="23" t="inlineStr">
        <is>
          <t>dog walks</t>
        </is>
      </c>
      <c r="I46" s="23" t="inlineStr">
        <is>
          <t>mountain biking, cards</t>
        </is>
      </c>
      <c r="J46" s="23" t="inlineStr">
        <is>
          <t>-</t>
        </is>
      </c>
      <c r="K46" s="23" t="inlineStr">
        <is>
          <t>baking, craft beer</t>
        </is>
      </c>
      <c r="L46" s="23" t="inlineStr">
        <is>
          <t>-</t>
        </is>
      </c>
      <c r="M46" s="23" t="inlineStr">
        <is>
          <t>T1, T2</t>
        </is>
      </c>
      <c r="N46" s="23" t="n">
        <v>2</v>
      </c>
      <c r="O46" s="23" t="n">
        <v>2</v>
      </c>
    </row>
    <row r="47">
      <c r="A47" s="23" t="inlineStr">
        <is>
          <t>e046</t>
        </is>
      </c>
      <c r="B47" s="23" t="inlineStr">
        <is>
          <t>Dylan B.</t>
        </is>
      </c>
      <c r="C47" s="23" t="n">
        <v>58</v>
      </c>
      <c r="D47" s="23" t="inlineStr">
        <is>
          <t>commuter</t>
        </is>
      </c>
      <c r="E47" s="23" t="inlineStr">
        <is>
          <t>No</t>
        </is>
      </c>
      <c r="F47" s="23" t="inlineStr">
        <is>
          <t>Ten Trails</t>
        </is>
      </c>
      <c r="G47" s="23" t="inlineStr">
        <is>
          <t>free</t>
        </is>
      </c>
      <c r="H47" s="23" t="inlineStr">
        <is>
          <t>golf, running, hiking, photography</t>
        </is>
      </c>
      <c r="I47" s="23" t="inlineStr">
        <is>
          <t>-</t>
        </is>
      </c>
      <c r="J47" s="23" t="inlineStr">
        <is>
          <t>-</t>
        </is>
      </c>
      <c r="K47" s="23" t="inlineStr">
        <is>
          <t>mountain biking, dining, board games</t>
        </is>
      </c>
      <c r="L47" s="23" t="inlineStr">
        <is>
          <t>-</t>
        </is>
      </c>
      <c r="M47" s="23" t="inlineStr">
        <is>
          <t>P1, T1, P2, T2</t>
        </is>
      </c>
      <c r="N47" s="23" t="n">
        <v>5</v>
      </c>
      <c r="O47" s="23" t="n">
        <v>4</v>
      </c>
    </row>
    <row r="48">
      <c r="A48" s="23" t="inlineStr">
        <is>
          <t>e047</t>
        </is>
      </c>
      <c r="B48" s="23" t="inlineStr">
        <is>
          <t>Brian O.</t>
        </is>
      </c>
      <c r="C48" s="23" t="n">
        <v>48</v>
      </c>
      <c r="D48" s="23" t="inlineStr">
        <is>
          <t>parent at home</t>
        </is>
      </c>
      <c r="E48" s="23" t="inlineStr">
        <is>
          <t>Yes</t>
        </is>
      </c>
      <c r="F48" s="23" t="inlineStr">
        <is>
          <t>Morgan Creek</t>
        </is>
      </c>
      <c r="G48" s="23" t="inlineStr">
        <is>
          <t>any</t>
        </is>
      </c>
      <c r="H48" s="23" t="inlineStr">
        <is>
          <t>baking</t>
        </is>
      </c>
      <c r="I48" s="23" t="inlineStr">
        <is>
          <t>dog walks, cards</t>
        </is>
      </c>
      <c r="J48" s="23" t="inlineStr">
        <is>
          <t>-</t>
        </is>
      </c>
      <c r="K48" s="23" t="inlineStr">
        <is>
          <t>picnics</t>
        </is>
      </c>
      <c r="L48" s="23" t="inlineStr">
        <is>
          <t>-</t>
        </is>
      </c>
      <c r="M48" s="23" t="inlineStr">
        <is>
          <t>P1, T1, P2, T2</t>
        </is>
      </c>
      <c r="N48" s="23" t="n">
        <v>5</v>
      </c>
      <c r="O48" s="23" t="n">
        <v>3</v>
      </c>
    </row>
    <row r="49">
      <c r="A49" s="23" t="inlineStr">
        <is>
          <t>e048</t>
        </is>
      </c>
      <c r="B49" s="23" t="inlineStr">
        <is>
          <t>Cody W.</t>
        </is>
      </c>
      <c r="C49" s="23" t="n">
        <v>29</v>
      </c>
      <c r="D49" s="23" t="inlineStr">
        <is>
          <t>commuter</t>
        </is>
      </c>
      <c r="E49" s="23" t="inlineStr">
        <is>
          <t>No</t>
        </is>
      </c>
      <c r="F49" s="23" t="inlineStr">
        <is>
          <t>Lake Sawyer</t>
        </is>
      </c>
      <c r="G49" s="23" t="inlineStr">
        <is>
          <t>free</t>
        </is>
      </c>
      <c r="H49" s="23" t="inlineStr">
        <is>
          <t>-</t>
        </is>
      </c>
      <c r="I49" s="23" t="inlineStr">
        <is>
          <t>live music, watch sports, golf</t>
        </is>
      </c>
      <c r="J49" s="23" t="inlineStr">
        <is>
          <t>running</t>
        </is>
      </c>
      <c r="K49" s="23" t="inlineStr">
        <is>
          <t>rc planes, pickleball</t>
        </is>
      </c>
      <c r="L49" s="23" t="inlineStr">
        <is>
          <t>-</t>
        </is>
      </c>
      <c r="M49" s="23" t="inlineStr">
        <is>
          <t>T1, T2</t>
        </is>
      </c>
      <c r="N49" s="23" t="n">
        <v>0</v>
      </c>
      <c r="O49" s="23" t="n">
        <v>0</v>
      </c>
    </row>
    <row r="50">
      <c r="A50" s="23" t="inlineStr">
        <is>
          <t>e049</t>
        </is>
      </c>
      <c r="B50" s="23" t="inlineStr">
        <is>
          <t>Lauren P.</t>
        </is>
      </c>
      <c r="C50" s="23" t="n">
        <v>28</v>
      </c>
      <c r="D50" s="23" t="inlineStr">
        <is>
          <t>remote worker</t>
        </is>
      </c>
      <c r="E50" s="23" t="inlineStr">
        <is>
          <t>No</t>
        </is>
      </c>
      <c r="F50" s="23" t="inlineStr">
        <is>
          <t>Lake Sawyer</t>
        </is>
      </c>
      <c r="G50" s="23" t="inlineStr">
        <is>
          <t>low</t>
        </is>
      </c>
      <c r="H50" s="23" t="inlineStr">
        <is>
          <t>kayaking, craft beer, yoga</t>
        </is>
      </c>
      <c r="I50" s="23" t="inlineStr">
        <is>
          <t>book club, volunteering</t>
        </is>
      </c>
      <c r="J50" s="23" t="inlineStr">
        <is>
          <t>running</t>
        </is>
      </c>
      <c r="K50" s="23" t="inlineStr">
        <is>
          <t>crafts, basketball, birding</t>
        </is>
      </c>
      <c r="L50" s="23" t="inlineStr">
        <is>
          <t>-</t>
        </is>
      </c>
      <c r="M50" s="23" t="inlineStr">
        <is>
          <t>P1, T1, P2, T2</t>
        </is>
      </c>
      <c r="N50" s="23" t="n">
        <v>6</v>
      </c>
      <c r="O50" s="23" t="n">
        <v>5</v>
      </c>
    </row>
    <row r="51">
      <c r="A51" s="23" t="inlineStr">
        <is>
          <t>e050</t>
        </is>
      </c>
      <c r="B51" s="23" t="inlineStr">
        <is>
          <t>Jack M.</t>
        </is>
      </c>
      <c r="C51" s="23" t="n">
        <v>45</v>
      </c>
      <c r="D51" s="23" t="inlineStr">
        <is>
          <t>remote worker</t>
        </is>
      </c>
      <c r="E51" s="23" t="inlineStr">
        <is>
          <t>No</t>
        </is>
      </c>
      <c r="F51" s="23" t="inlineStr">
        <is>
          <t>Black Diamond Ridge</t>
        </is>
      </c>
      <c r="G51" s="23" t="inlineStr">
        <is>
          <t>low</t>
        </is>
      </c>
      <c r="H51" s="23" t="inlineStr">
        <is>
          <t>baseball</t>
        </is>
      </c>
      <c r="I51" s="23" t="inlineStr">
        <is>
          <t>running, book club, craft beer</t>
        </is>
      </c>
      <c r="J51" s="23" t="inlineStr">
        <is>
          <t>-</t>
        </is>
      </c>
      <c r="K51" s="23" t="inlineStr">
        <is>
          <t>boating, history, picnics</t>
        </is>
      </c>
      <c r="L51" s="23" t="inlineStr">
        <is>
          <t>long drives, competitive</t>
        </is>
      </c>
      <c r="M51" s="23" t="inlineStr">
        <is>
          <t>T1, T2</t>
        </is>
      </c>
      <c r="N51" s="23" t="n">
        <v>0</v>
      </c>
      <c r="O51" s="23" t="n">
        <v>0</v>
      </c>
    </row>
    <row r="52">
      <c r="A52" s="23" t="inlineStr">
        <is>
          <t>e051</t>
        </is>
      </c>
      <c r="B52" s="23" t="inlineStr">
        <is>
          <t>Nora B.</t>
        </is>
      </c>
      <c r="C52" s="23" t="n">
        <v>60</v>
      </c>
      <c r="D52" s="23" t="inlineStr">
        <is>
          <t>commuter</t>
        </is>
      </c>
      <c r="E52" s="23" t="inlineStr">
        <is>
          <t>No</t>
        </is>
      </c>
      <c r="F52" s="23" t="inlineStr">
        <is>
          <t>Lake Sawyer</t>
        </is>
      </c>
      <c r="G52" s="23" t="inlineStr">
        <is>
          <t>low</t>
        </is>
      </c>
      <c r="H52" s="23" t="inlineStr">
        <is>
          <t>craft beer, golf, dog walks</t>
        </is>
      </c>
      <c r="I52" s="23" t="inlineStr">
        <is>
          <t>running</t>
        </is>
      </c>
      <c r="J52" s="23" t="inlineStr">
        <is>
          <t>hiking, photography</t>
        </is>
      </c>
      <c r="K52" s="23" t="inlineStr">
        <is>
          <t>history</t>
        </is>
      </c>
      <c r="L52" s="23" t="inlineStr">
        <is>
          <t>competitive, early mornings</t>
        </is>
      </c>
      <c r="M52" s="23" t="inlineStr">
        <is>
          <t>T1, T2</t>
        </is>
      </c>
      <c r="N52" s="23" t="n">
        <v>3</v>
      </c>
      <c r="O52" s="23" t="n">
        <v>3</v>
      </c>
    </row>
    <row r="53">
      <c r="A53" s="23" t="inlineStr">
        <is>
          <t>e052</t>
        </is>
      </c>
      <c r="B53" s="23" t="inlineStr">
        <is>
          <t>Ron W.</t>
        </is>
      </c>
      <c r="C53" s="23" t="n">
        <v>19</v>
      </c>
      <c r="D53" s="23" t="inlineStr">
        <is>
          <t>shift worker</t>
        </is>
      </c>
      <c r="E53" s="23" t="inlineStr">
        <is>
          <t>No</t>
        </is>
      </c>
      <c r="F53" s="23" t="inlineStr">
        <is>
          <t>Downtown</t>
        </is>
      </c>
      <c r="G53" s="23" t="inlineStr">
        <is>
          <t>any</t>
        </is>
      </c>
      <c r="H53" s="23" t="inlineStr">
        <is>
          <t>basketball</t>
        </is>
      </c>
      <c r="I53" s="23" t="inlineStr">
        <is>
          <t>cards, craft beer, dog walks</t>
        </is>
      </c>
      <c r="J53" s="23" t="inlineStr">
        <is>
          <t>mountain biking, coffee</t>
        </is>
      </c>
      <c r="K53" s="23" t="inlineStr">
        <is>
          <t>swimming</t>
        </is>
      </c>
      <c r="L53" s="23" t="inlineStr">
        <is>
          <t>late nights, competitive</t>
        </is>
      </c>
      <c r="M53" s="23" t="inlineStr">
        <is>
          <t>P1, T1, P2, T2</t>
        </is>
      </c>
      <c r="N53" s="23" t="n">
        <v>2</v>
      </c>
      <c r="O53" s="23" t="n">
        <v>2</v>
      </c>
    </row>
    <row r="54">
      <c r="A54" s="23" t="inlineStr">
        <is>
          <t>e053</t>
        </is>
      </c>
      <c r="B54" s="23" t="inlineStr">
        <is>
          <t>Santiago T.</t>
        </is>
      </c>
      <c r="C54" s="23" t="n">
        <v>42</v>
      </c>
      <c r="D54" s="23" t="inlineStr">
        <is>
          <t>parent at home</t>
        </is>
      </c>
      <c r="E54" s="23" t="inlineStr">
        <is>
          <t>Yes</t>
        </is>
      </c>
      <c r="F54" s="23" t="inlineStr">
        <is>
          <t>Ten Trails</t>
        </is>
      </c>
      <c r="G54" s="23" t="inlineStr">
        <is>
          <t>any</t>
        </is>
      </c>
      <c r="H54" s="23" t="inlineStr">
        <is>
          <t>swimming, cooking</t>
        </is>
      </c>
      <c r="I54" s="23" t="inlineStr">
        <is>
          <t>baseball, farmers market, picnics</t>
        </is>
      </c>
      <c r="J54" s="23" t="inlineStr">
        <is>
          <t>hiking</t>
        </is>
      </c>
      <c r="K54" s="23" t="inlineStr">
        <is>
          <t>pickleball</t>
        </is>
      </c>
      <c r="L54" s="23" t="inlineStr">
        <is>
          <t>competitive, long drives</t>
        </is>
      </c>
      <c r="M54" s="23" t="inlineStr">
        <is>
          <t>T1, T2</t>
        </is>
      </c>
      <c r="N54" s="23" t="n">
        <v>0</v>
      </c>
      <c r="O54" s="23" t="n">
        <v>0</v>
      </c>
    </row>
    <row r="55">
      <c r="A55" s="23" t="inlineStr">
        <is>
          <t>e054</t>
        </is>
      </c>
      <c r="B55" s="23" t="inlineStr">
        <is>
          <t>Ellie M.</t>
        </is>
      </c>
      <c r="C55" s="23" t="n">
        <v>28</v>
      </c>
      <c r="D55" s="23" t="inlineStr">
        <is>
          <t>commuter</t>
        </is>
      </c>
      <c r="E55" s="23" t="inlineStr">
        <is>
          <t>No</t>
        </is>
      </c>
      <c r="F55" s="23" t="inlineStr">
        <is>
          <t>Lawson Hills</t>
        </is>
      </c>
      <c r="G55" s="23" t="inlineStr">
        <is>
          <t>free</t>
        </is>
      </c>
      <c r="H55" s="23" t="inlineStr">
        <is>
          <t>farmers market</t>
        </is>
      </c>
      <c r="I55" s="23" t="inlineStr">
        <is>
          <t>pickleball, hiking</t>
        </is>
      </c>
      <c r="J55" s="23" t="inlineStr">
        <is>
          <t>running</t>
        </is>
      </c>
      <c r="K55" s="23" t="inlineStr">
        <is>
          <t>dog walks, fishing</t>
        </is>
      </c>
      <c r="L55" s="23" t="inlineStr">
        <is>
          <t>loud places, late nights</t>
        </is>
      </c>
      <c r="M55" s="23" t="inlineStr">
        <is>
          <t>T1, T2</t>
        </is>
      </c>
      <c r="N55" s="23" t="n">
        <v>0</v>
      </c>
      <c r="O55" s="23" t="n">
        <v>0</v>
      </c>
    </row>
    <row r="56">
      <c r="A56" s="23" t="inlineStr">
        <is>
          <t>e055</t>
        </is>
      </c>
      <c r="B56" s="23" t="inlineStr">
        <is>
          <t>Ryan M.</t>
        </is>
      </c>
      <c r="C56" s="23" t="n">
        <v>78</v>
      </c>
      <c r="D56" s="23" t="inlineStr">
        <is>
          <t>retiree</t>
        </is>
      </c>
      <c r="E56" s="23" t="inlineStr">
        <is>
          <t>No</t>
        </is>
      </c>
      <c r="F56" s="23" t="inlineStr">
        <is>
          <t>Ten Trails</t>
        </is>
      </c>
      <c r="G56" s="23" t="inlineStr">
        <is>
          <t>low</t>
        </is>
      </c>
      <c r="H56" s="23" t="inlineStr">
        <is>
          <t>history</t>
        </is>
      </c>
      <c r="I56" s="23" t="inlineStr">
        <is>
          <t>gardening, baseball</t>
        </is>
      </c>
      <c r="J56" s="23" t="inlineStr">
        <is>
          <t>-</t>
        </is>
      </c>
      <c r="K56" s="23" t="inlineStr">
        <is>
          <t>fishing</t>
        </is>
      </c>
      <c r="L56" s="23" t="inlineStr">
        <is>
          <t>-</t>
        </is>
      </c>
      <c r="M56" s="23" t="inlineStr">
        <is>
          <t>P1, T1, P2, T2</t>
        </is>
      </c>
      <c r="N56" s="23" t="n">
        <v>8</v>
      </c>
      <c r="O56" s="23" t="n">
        <v>7</v>
      </c>
    </row>
    <row r="57">
      <c r="A57" s="23" t="inlineStr">
        <is>
          <t>e056</t>
        </is>
      </c>
      <c r="B57" s="23" t="inlineStr">
        <is>
          <t>Arjun L.</t>
        </is>
      </c>
      <c r="C57" s="23" t="n">
        <v>64</v>
      </c>
      <c r="D57" s="23" t="inlineStr">
        <is>
          <t>remote worker</t>
        </is>
      </c>
      <c r="E57" s="23" t="inlineStr">
        <is>
          <t>No</t>
        </is>
      </c>
      <c r="F57" s="23" t="inlineStr">
        <is>
          <t>Downtown</t>
        </is>
      </c>
      <c r="G57" s="23" t="inlineStr">
        <is>
          <t>low</t>
        </is>
      </c>
      <c r="H57" s="23" t="inlineStr">
        <is>
          <t>coffee, yoga, cooking</t>
        </is>
      </c>
      <c r="I57" s="23" t="inlineStr">
        <is>
          <t>craft beer, kayaking</t>
        </is>
      </c>
      <c r="J57" s="23" t="inlineStr">
        <is>
          <t>-</t>
        </is>
      </c>
      <c r="K57" s="23" t="inlineStr">
        <is>
          <t>crafts, volunteering, watch sports</t>
        </is>
      </c>
      <c r="L57" s="23" t="inlineStr">
        <is>
          <t>loud places</t>
        </is>
      </c>
      <c r="M57" s="23" t="inlineStr">
        <is>
          <t>T1, T2</t>
        </is>
      </c>
      <c r="N57" s="23" t="n">
        <v>0</v>
      </c>
      <c r="O57" s="23" t="n">
        <v>0</v>
      </c>
    </row>
    <row r="58">
      <c r="A58" s="23" t="inlineStr">
        <is>
          <t>e057</t>
        </is>
      </c>
      <c r="B58" s="23" t="inlineStr">
        <is>
          <t>Lauren H.</t>
        </is>
      </c>
      <c r="C58" s="23" t="n">
        <v>33</v>
      </c>
      <c r="D58" s="23" t="inlineStr">
        <is>
          <t>parent at home</t>
        </is>
      </c>
      <c r="E58" s="23" t="inlineStr">
        <is>
          <t>Yes</t>
        </is>
      </c>
      <c r="F58" s="23" t="inlineStr">
        <is>
          <t>Black Diamond Ridge</t>
        </is>
      </c>
      <c r="G58" s="23" t="inlineStr">
        <is>
          <t>low</t>
        </is>
      </c>
      <c r="H58" s="23" t="inlineStr">
        <is>
          <t>-</t>
        </is>
      </c>
      <c r="I58" s="23" t="inlineStr">
        <is>
          <t>farmers market, tubing</t>
        </is>
      </c>
      <c r="J58" s="23" t="inlineStr">
        <is>
          <t>swimming</t>
        </is>
      </c>
      <c r="K58" s="23" t="inlineStr">
        <is>
          <t>birding, history, coffee</t>
        </is>
      </c>
      <c r="L58" s="23" t="inlineStr">
        <is>
          <t>crowds</t>
        </is>
      </c>
      <c r="M58" s="23" t="inlineStr">
        <is>
          <t>T1, T2</t>
        </is>
      </c>
      <c r="N58" s="23" t="n">
        <v>0</v>
      </c>
      <c r="O58" s="23" t="n">
        <v>0</v>
      </c>
    </row>
    <row r="59">
      <c r="A59" s="23" t="inlineStr">
        <is>
          <t>e058</t>
        </is>
      </c>
      <c r="B59" s="23" t="inlineStr">
        <is>
          <t>Brooke B.</t>
        </is>
      </c>
      <c r="C59" s="23" t="n">
        <v>54</v>
      </c>
      <c r="D59" s="23" t="inlineStr">
        <is>
          <t>commuter</t>
        </is>
      </c>
      <c r="E59" s="23" t="inlineStr">
        <is>
          <t>No</t>
        </is>
      </c>
      <c r="F59" s="23" t="inlineStr">
        <is>
          <t>Morgan Creek</t>
        </is>
      </c>
      <c r="G59" s="23" t="inlineStr">
        <is>
          <t>any</t>
        </is>
      </c>
      <c r="H59" s="23" t="inlineStr">
        <is>
          <t>golf, watch sports, pickleball, dining, birding</t>
        </is>
      </c>
      <c r="I59" s="23" t="inlineStr">
        <is>
          <t>hiking</t>
        </is>
      </c>
      <c r="J59" s="23" t="inlineStr">
        <is>
          <t>-</t>
        </is>
      </c>
      <c r="K59" s="23" t="inlineStr">
        <is>
          <t>gardening, fishing, yoga</t>
        </is>
      </c>
      <c r="L59" s="23" t="inlineStr">
        <is>
          <t>early mornings, long drives</t>
        </is>
      </c>
      <c r="M59" s="23" t="inlineStr">
        <is>
          <t>T1, T2</t>
        </is>
      </c>
      <c r="N59" s="23" t="n">
        <v>2</v>
      </c>
      <c r="O59" s="23" t="n">
        <v>2</v>
      </c>
    </row>
    <row r="60">
      <c r="A60" s="23" t="inlineStr">
        <is>
          <t>e059</t>
        </is>
      </c>
      <c r="B60" s="23" t="inlineStr">
        <is>
          <t>Donna B.</t>
        </is>
      </c>
      <c r="C60" s="23" t="n">
        <v>19</v>
      </c>
      <c r="D60" s="23" t="inlineStr">
        <is>
          <t>shift worker</t>
        </is>
      </c>
      <c r="E60" s="23" t="inlineStr">
        <is>
          <t>No</t>
        </is>
      </c>
      <c r="F60" s="23" t="inlineStr">
        <is>
          <t>Morgan Creek</t>
        </is>
      </c>
      <c r="G60" s="23" t="inlineStr">
        <is>
          <t>any</t>
        </is>
      </c>
      <c r="H60" s="23" t="inlineStr">
        <is>
          <t>mountain biking</t>
        </is>
      </c>
      <c r="I60" s="23" t="inlineStr">
        <is>
          <t>hiking, yoga</t>
        </is>
      </c>
      <c r="J60" s="23" t="inlineStr">
        <is>
          <t>craft beer, dining</t>
        </is>
      </c>
      <c r="K60" s="23" t="inlineStr">
        <is>
          <t>coffee, history, tubing</t>
        </is>
      </c>
      <c r="L60" s="23" t="inlineStr">
        <is>
          <t>-</t>
        </is>
      </c>
      <c r="M60" s="23" t="inlineStr">
        <is>
          <t>T1, T2</t>
        </is>
      </c>
      <c r="N60" s="23" t="n">
        <v>2</v>
      </c>
      <c r="O60" s="23" t="n">
        <v>2</v>
      </c>
    </row>
    <row r="61">
      <c r="A61" s="23" t="inlineStr">
        <is>
          <t>e060</t>
        </is>
      </c>
      <c r="B61" s="23" t="inlineStr">
        <is>
          <t>Cody O.</t>
        </is>
      </c>
      <c r="C61" s="23" t="n">
        <v>83</v>
      </c>
      <c r="D61" s="23" t="inlineStr">
        <is>
          <t>retiree</t>
        </is>
      </c>
      <c r="E61" s="23" t="inlineStr">
        <is>
          <t>No</t>
        </is>
      </c>
      <c r="F61" s="23" t="inlineStr">
        <is>
          <t>Lawson Hills</t>
        </is>
      </c>
      <c r="G61" s="23" t="inlineStr">
        <is>
          <t>low</t>
        </is>
      </c>
      <c r="H61" s="23" t="inlineStr">
        <is>
          <t>-</t>
        </is>
      </c>
      <c r="I61" s="23" t="inlineStr">
        <is>
          <t>birding, crafts, gardening, live music</t>
        </is>
      </c>
      <c r="J61" s="23" t="inlineStr">
        <is>
          <t>-</t>
        </is>
      </c>
      <c r="K61" s="23" t="inlineStr">
        <is>
          <t>baseball, trivia</t>
        </is>
      </c>
      <c r="L61" s="23" t="inlineStr">
        <is>
          <t>loud places</t>
        </is>
      </c>
      <c r="M61" s="23" t="inlineStr">
        <is>
          <t>T1, T2</t>
        </is>
      </c>
      <c r="N61" s="23" t="n">
        <v>1</v>
      </c>
      <c r="O61" s="23" t="n">
        <v>1</v>
      </c>
    </row>
    <row r="62">
      <c r="A62" s="23" t="inlineStr">
        <is>
          <t>e061</t>
        </is>
      </c>
      <c r="B62" s="23" t="inlineStr">
        <is>
          <t>Grace M.</t>
        </is>
      </c>
      <c r="C62" s="23" t="n">
        <v>83</v>
      </c>
      <c r="D62" s="23" t="inlineStr">
        <is>
          <t>retiree</t>
        </is>
      </c>
      <c r="E62" s="23" t="inlineStr">
        <is>
          <t>No</t>
        </is>
      </c>
      <c r="F62" s="23" t="inlineStr">
        <is>
          <t>Downtown</t>
        </is>
      </c>
      <c r="G62" s="23" t="inlineStr">
        <is>
          <t>any</t>
        </is>
      </c>
      <c r="H62" s="23" t="inlineStr">
        <is>
          <t>golf, cards</t>
        </is>
      </c>
      <c r="I62" s="23" t="inlineStr">
        <is>
          <t>-</t>
        </is>
      </c>
      <c r="J62" s="23" t="inlineStr">
        <is>
          <t>basketball</t>
        </is>
      </c>
      <c r="K62" s="23" t="inlineStr">
        <is>
          <t>baseball</t>
        </is>
      </c>
      <c r="L62" s="23" t="inlineStr">
        <is>
          <t>-</t>
        </is>
      </c>
      <c r="M62" s="23" t="inlineStr">
        <is>
          <t>P1, T1, P2, T2</t>
        </is>
      </c>
      <c r="N62" s="23" t="n">
        <v>1</v>
      </c>
      <c r="O62" s="23" t="n">
        <v>1</v>
      </c>
    </row>
    <row r="63">
      <c r="A63" s="23" t="inlineStr">
        <is>
          <t>e062</t>
        </is>
      </c>
      <c r="B63" s="23" t="inlineStr">
        <is>
          <t>Tom N.</t>
        </is>
      </c>
      <c r="C63" s="23" t="n">
        <v>38</v>
      </c>
      <c r="D63" s="23" t="inlineStr">
        <is>
          <t>commuter</t>
        </is>
      </c>
      <c r="E63" s="23" t="inlineStr">
        <is>
          <t>Yes</t>
        </is>
      </c>
      <c r="F63" s="23" t="inlineStr">
        <is>
          <t>Black Diamond Ridge</t>
        </is>
      </c>
      <c r="G63" s="23" t="inlineStr">
        <is>
          <t>low</t>
        </is>
      </c>
      <c r="H63" s="23" t="inlineStr">
        <is>
          <t>craft beer, fishing</t>
        </is>
      </c>
      <c r="I63" s="23" t="inlineStr">
        <is>
          <t>golf, coffee</t>
        </is>
      </c>
      <c r="J63" s="23" t="inlineStr">
        <is>
          <t>hiking</t>
        </is>
      </c>
      <c r="K63" s="23" t="inlineStr">
        <is>
          <t>dining, baseball</t>
        </is>
      </c>
      <c r="L63" s="23" t="inlineStr">
        <is>
          <t>late nights</t>
        </is>
      </c>
      <c r="M63" s="23" t="inlineStr">
        <is>
          <t>T1, T2</t>
        </is>
      </c>
      <c r="N63" s="23" t="n">
        <v>1</v>
      </c>
      <c r="O63" s="23" t="n">
        <v>0</v>
      </c>
    </row>
    <row r="64">
      <c r="A64" s="23" t="inlineStr">
        <is>
          <t>e063</t>
        </is>
      </c>
      <c r="B64" s="23" t="inlineStr">
        <is>
          <t>Hunter R.</t>
        </is>
      </c>
      <c r="C64" s="23" t="n">
        <v>35</v>
      </c>
      <c r="D64" s="23" t="inlineStr">
        <is>
          <t>parent at home</t>
        </is>
      </c>
      <c r="E64" s="23" t="inlineStr">
        <is>
          <t>Yes</t>
        </is>
      </c>
      <c r="F64" s="23" t="inlineStr">
        <is>
          <t>Ten Trails</t>
        </is>
      </c>
      <c r="G64" s="23" t="inlineStr">
        <is>
          <t>low</t>
        </is>
      </c>
      <c r="H64" s="23" t="inlineStr">
        <is>
          <t>farmers market</t>
        </is>
      </c>
      <c r="I64" s="23" t="inlineStr">
        <is>
          <t>pickleball</t>
        </is>
      </c>
      <c r="J64" s="23" t="inlineStr">
        <is>
          <t>coffee, baking</t>
        </is>
      </c>
      <c r="K64" s="23" t="inlineStr">
        <is>
          <t>boating, trivia, birding</t>
        </is>
      </c>
      <c r="L64" s="23" t="inlineStr">
        <is>
          <t>crowds, spending money</t>
        </is>
      </c>
      <c r="M64" s="23" t="inlineStr">
        <is>
          <t>T1, T2</t>
        </is>
      </c>
      <c r="N64" s="23" t="n">
        <v>0</v>
      </c>
      <c r="O64" s="23" t="n">
        <v>0</v>
      </c>
    </row>
    <row r="65">
      <c r="A65" s="23" t="inlineStr">
        <is>
          <t>e064</t>
        </is>
      </c>
      <c r="B65" s="23" t="inlineStr">
        <is>
          <t>Noah M.</t>
        </is>
      </c>
      <c r="C65" s="23" t="n">
        <v>43</v>
      </c>
      <c r="D65" s="23" t="inlineStr">
        <is>
          <t>remote worker</t>
        </is>
      </c>
      <c r="E65" s="23" t="inlineStr">
        <is>
          <t>No</t>
        </is>
      </c>
      <c r="F65" s="23" t="inlineStr">
        <is>
          <t>Ten Trails</t>
        </is>
      </c>
      <c r="G65" s="23" t="inlineStr">
        <is>
          <t>any</t>
        </is>
      </c>
      <c r="H65" s="23" t="inlineStr">
        <is>
          <t>kayaking, craft beer, running</t>
        </is>
      </c>
      <c r="I65" s="23" t="inlineStr">
        <is>
          <t>photography, gardening</t>
        </is>
      </c>
      <c r="J65" s="23" t="inlineStr">
        <is>
          <t>-</t>
        </is>
      </c>
      <c r="K65" s="23" t="inlineStr">
        <is>
          <t>boating, tubing</t>
        </is>
      </c>
      <c r="L65" s="23" t="inlineStr">
        <is>
          <t>spending money, loud places</t>
        </is>
      </c>
      <c r="M65" s="23" t="inlineStr">
        <is>
          <t>T1, T2</t>
        </is>
      </c>
      <c r="N65" s="23" t="n">
        <v>3</v>
      </c>
      <c r="O65" s="23" t="n">
        <v>3</v>
      </c>
    </row>
    <row r="66">
      <c r="A66" s="23" t="inlineStr">
        <is>
          <t>e065</t>
        </is>
      </c>
      <c r="B66" s="23" t="inlineStr">
        <is>
          <t>Mark L.</t>
        </is>
      </c>
      <c r="C66" s="23" t="n">
        <v>34</v>
      </c>
      <c r="D66" s="23" t="inlineStr">
        <is>
          <t>remote worker</t>
        </is>
      </c>
      <c r="E66" s="23" t="inlineStr">
        <is>
          <t>No</t>
        </is>
      </c>
      <c r="F66" s="23" t="inlineStr">
        <is>
          <t>Morgan Creek</t>
        </is>
      </c>
      <c r="G66" s="23" t="inlineStr">
        <is>
          <t>low</t>
        </is>
      </c>
      <c r="H66" s="23" t="inlineStr">
        <is>
          <t>farmers market</t>
        </is>
      </c>
      <c r="I66" s="23" t="inlineStr">
        <is>
          <t>running, kayaking</t>
        </is>
      </c>
      <c r="J66" s="23" t="inlineStr">
        <is>
          <t>yoga</t>
        </is>
      </c>
      <c r="K66" s="23" t="inlineStr">
        <is>
          <t>volunteering, cooking, pickleball</t>
        </is>
      </c>
      <c r="L66" s="23" t="inlineStr">
        <is>
          <t>-</t>
        </is>
      </c>
      <c r="M66" s="23" t="inlineStr">
        <is>
          <t>T1, T2</t>
        </is>
      </c>
      <c r="N66" s="23" t="n">
        <v>0</v>
      </c>
      <c r="O66" s="23" t="n">
        <v>0</v>
      </c>
    </row>
    <row r="67">
      <c r="A67" s="23" t="inlineStr">
        <is>
          <t>e066</t>
        </is>
      </c>
      <c r="B67" s="23" t="inlineStr">
        <is>
          <t>Scott P.</t>
        </is>
      </c>
      <c r="C67" s="23" t="n">
        <v>35</v>
      </c>
      <c r="D67" s="23" t="inlineStr">
        <is>
          <t>parent at home</t>
        </is>
      </c>
      <c r="E67" s="23" t="inlineStr">
        <is>
          <t>Yes</t>
        </is>
      </c>
      <c r="F67" s="23" t="inlineStr">
        <is>
          <t>Black Diamond Ridge</t>
        </is>
      </c>
      <c r="G67" s="23" t="inlineStr">
        <is>
          <t>free</t>
        </is>
      </c>
      <c r="H67" s="23" t="inlineStr">
        <is>
          <t>baking, cooking, trivia</t>
        </is>
      </c>
      <c r="I67" s="23" t="inlineStr">
        <is>
          <t>swimming, board games</t>
        </is>
      </c>
      <c r="J67" s="23" t="inlineStr">
        <is>
          <t>-</t>
        </is>
      </c>
      <c r="K67" s="23" t="inlineStr">
        <is>
          <t>photography, history</t>
        </is>
      </c>
      <c r="L67" s="23" t="inlineStr">
        <is>
          <t>-</t>
        </is>
      </c>
      <c r="M67" s="23" t="inlineStr">
        <is>
          <t>T1, T2</t>
        </is>
      </c>
      <c r="N67" s="23" t="n">
        <v>0</v>
      </c>
      <c r="O67" s="23" t="n">
        <v>0</v>
      </c>
    </row>
    <row r="68">
      <c r="A68" s="23" t="inlineStr">
        <is>
          <t>e067</t>
        </is>
      </c>
      <c r="B68" s="23" t="inlineStr">
        <is>
          <t>Donna M.</t>
        </is>
      </c>
      <c r="C68" s="23" t="n">
        <v>61</v>
      </c>
      <c r="D68" s="23" t="inlineStr">
        <is>
          <t>remote worker</t>
        </is>
      </c>
      <c r="E68" s="23" t="inlineStr">
        <is>
          <t>No</t>
        </is>
      </c>
      <c r="F68" s="23" t="inlineStr">
        <is>
          <t>Downtown</t>
        </is>
      </c>
      <c r="G68" s="23" t="inlineStr">
        <is>
          <t>any</t>
        </is>
      </c>
      <c r="H68" s="23" t="inlineStr">
        <is>
          <t>-</t>
        </is>
      </c>
      <c r="I68" s="23" t="inlineStr">
        <is>
          <t>running, kayaking, dog walks</t>
        </is>
      </c>
      <c r="J68" s="23" t="inlineStr">
        <is>
          <t>coffee, craft beer, boating</t>
        </is>
      </c>
      <c r="K68" s="23" t="inlineStr">
        <is>
          <t>board games, live music, cooking</t>
        </is>
      </c>
      <c r="L68" s="23" t="inlineStr">
        <is>
          <t>crowds</t>
        </is>
      </c>
      <c r="M68" s="23" t="inlineStr">
        <is>
          <t>P1, T1, P2, T2</t>
        </is>
      </c>
      <c r="N68" s="23" t="n">
        <v>7</v>
      </c>
      <c r="O68" s="23" t="n">
        <v>6</v>
      </c>
    </row>
    <row r="69">
      <c r="A69" s="23" t="inlineStr">
        <is>
          <t>e068</t>
        </is>
      </c>
      <c r="B69" s="23" t="inlineStr">
        <is>
          <t>Gary N.</t>
        </is>
      </c>
      <c r="C69" s="23" t="n">
        <v>18</v>
      </c>
      <c r="D69" s="23" t="inlineStr">
        <is>
          <t>student</t>
        </is>
      </c>
      <c r="E69" s="23" t="inlineStr">
        <is>
          <t>No</t>
        </is>
      </c>
      <c r="F69" s="23" t="inlineStr">
        <is>
          <t>Downtown</t>
        </is>
      </c>
      <c r="G69" s="23" t="inlineStr">
        <is>
          <t>any</t>
        </is>
      </c>
      <c r="H69" s="23" t="inlineStr">
        <is>
          <t>mountain biking, gardening</t>
        </is>
      </c>
      <c r="I69" s="23" t="inlineStr">
        <is>
          <t>basketball</t>
        </is>
      </c>
      <c r="J69" s="23" t="inlineStr">
        <is>
          <t>board games, tubing, history</t>
        </is>
      </c>
      <c r="K69" s="23" t="inlineStr">
        <is>
          <t>picnics, photography, swimming</t>
        </is>
      </c>
      <c r="L69" s="23" t="inlineStr">
        <is>
          <t>crowds, competitive</t>
        </is>
      </c>
      <c r="M69" s="23" t="inlineStr">
        <is>
          <t>T1, T2</t>
        </is>
      </c>
      <c r="N69" s="23" t="n">
        <v>0</v>
      </c>
      <c r="O69" s="23" t="n">
        <v>0</v>
      </c>
    </row>
    <row r="70">
      <c r="A70" s="23" t="inlineStr">
        <is>
          <t>e069</t>
        </is>
      </c>
      <c r="B70" s="23" t="inlineStr">
        <is>
          <t>Noah P.</t>
        </is>
      </c>
      <c r="C70" s="23" t="n">
        <v>77</v>
      </c>
      <c r="D70" s="23" t="inlineStr">
        <is>
          <t>retiree</t>
        </is>
      </c>
      <c r="E70" s="23" t="inlineStr">
        <is>
          <t>No</t>
        </is>
      </c>
      <c r="F70" s="23" t="inlineStr">
        <is>
          <t>Downtown</t>
        </is>
      </c>
      <c r="G70" s="23" t="inlineStr">
        <is>
          <t>any</t>
        </is>
      </c>
      <c r="H70" s="23" t="inlineStr">
        <is>
          <t>fishing, birding</t>
        </is>
      </c>
      <c r="I70" s="23" t="inlineStr">
        <is>
          <t>running</t>
        </is>
      </c>
      <c r="J70" s="23" t="inlineStr">
        <is>
          <t>-</t>
        </is>
      </c>
      <c r="K70" s="23" t="inlineStr">
        <is>
          <t>golf, pickleball, farmers market</t>
        </is>
      </c>
      <c r="L70" s="23" t="inlineStr">
        <is>
          <t>-</t>
        </is>
      </c>
      <c r="M70" s="23" t="inlineStr">
        <is>
          <t>P1, T1, P2, T2</t>
        </is>
      </c>
      <c r="N70" s="23" t="n">
        <v>4</v>
      </c>
      <c r="O70" s="23" t="n">
        <v>3</v>
      </c>
    </row>
    <row r="71">
      <c r="A71" s="23" t="inlineStr">
        <is>
          <t>e070</t>
        </is>
      </c>
      <c r="B71" s="23" t="inlineStr">
        <is>
          <t>Angelica L.</t>
        </is>
      </c>
      <c r="C71" s="23" t="n">
        <v>80</v>
      </c>
      <c r="D71" s="23" t="inlineStr">
        <is>
          <t>retiree</t>
        </is>
      </c>
      <c r="E71" s="23" t="inlineStr">
        <is>
          <t>No</t>
        </is>
      </c>
      <c r="F71" s="23" t="inlineStr">
        <is>
          <t>Ten Trails</t>
        </is>
      </c>
      <c r="G71" s="23" t="inlineStr">
        <is>
          <t>free</t>
        </is>
      </c>
      <c r="H71" s="23" t="inlineStr">
        <is>
          <t>gardening, live music, book club</t>
        </is>
      </c>
      <c r="I71" s="23" t="inlineStr">
        <is>
          <t>volunteering, history, golf</t>
        </is>
      </c>
      <c r="J71" s="23" t="inlineStr">
        <is>
          <t>-</t>
        </is>
      </c>
      <c r="K71" s="23" t="inlineStr">
        <is>
          <t>craft beer</t>
        </is>
      </c>
      <c r="L71" s="23" t="inlineStr">
        <is>
          <t>late nights, crowds</t>
        </is>
      </c>
      <c r="M71" s="23" t="inlineStr">
        <is>
          <t>T1, T2</t>
        </is>
      </c>
      <c r="N71" s="23" t="n">
        <v>0</v>
      </c>
      <c r="O71" s="23" t="n">
        <v>0</v>
      </c>
    </row>
    <row r="72">
      <c r="A72" s="23" t="inlineStr">
        <is>
          <t>e071</t>
        </is>
      </c>
      <c r="B72" s="23" t="inlineStr">
        <is>
          <t>Ji-woo C.</t>
        </is>
      </c>
      <c r="C72" s="23" t="n">
        <v>46</v>
      </c>
      <c r="D72" s="23" t="inlineStr">
        <is>
          <t>remote worker</t>
        </is>
      </c>
      <c r="E72" s="23" t="inlineStr">
        <is>
          <t>Yes</t>
        </is>
      </c>
      <c r="F72" s="23" t="inlineStr">
        <is>
          <t>Black Diamond Ridge</t>
        </is>
      </c>
      <c r="G72" s="23" t="inlineStr">
        <is>
          <t>free</t>
        </is>
      </c>
      <c r="H72" s="23" t="inlineStr">
        <is>
          <t>-</t>
        </is>
      </c>
      <c r="I72" s="23" t="inlineStr">
        <is>
          <t>baseball, baking</t>
        </is>
      </c>
      <c r="J72" s="23" t="inlineStr">
        <is>
          <t>craft beer</t>
        </is>
      </c>
      <c r="K72" s="23" t="inlineStr">
        <is>
          <t>board games</t>
        </is>
      </c>
      <c r="L72" s="23" t="inlineStr">
        <is>
          <t>-</t>
        </is>
      </c>
      <c r="M72" s="23" t="inlineStr">
        <is>
          <t>T1, T2</t>
        </is>
      </c>
      <c r="N72" s="23" t="n">
        <v>0</v>
      </c>
      <c r="O72" s="23" t="n">
        <v>0</v>
      </c>
    </row>
    <row r="73">
      <c r="A73" s="23" t="inlineStr">
        <is>
          <t>e072</t>
        </is>
      </c>
      <c r="B73" s="23" t="inlineStr">
        <is>
          <t>Mateo M.</t>
        </is>
      </c>
      <c r="C73" s="23" t="n">
        <v>66</v>
      </c>
      <c r="D73" s="23" t="inlineStr">
        <is>
          <t>remote worker</t>
        </is>
      </c>
      <c r="E73" s="23" t="inlineStr">
        <is>
          <t>No</t>
        </is>
      </c>
      <c r="F73" s="23" t="inlineStr">
        <is>
          <t>Lawson Hills</t>
        </is>
      </c>
      <c r="G73" s="23" t="inlineStr">
        <is>
          <t>any</t>
        </is>
      </c>
      <c r="H73" s="23" t="inlineStr">
        <is>
          <t>-</t>
        </is>
      </c>
      <c r="I73" s="23" t="inlineStr">
        <is>
          <t>book club, photography</t>
        </is>
      </c>
      <c r="J73" s="23" t="inlineStr">
        <is>
          <t>coffee, baking, bmx</t>
        </is>
      </c>
      <c r="K73" s="23" t="inlineStr">
        <is>
          <t>birding</t>
        </is>
      </c>
      <c r="L73" s="23" t="inlineStr">
        <is>
          <t>competitive</t>
        </is>
      </c>
      <c r="M73" s="23" t="inlineStr">
        <is>
          <t>T1, T2</t>
        </is>
      </c>
      <c r="N73" s="23" t="n">
        <v>0</v>
      </c>
      <c r="O73" s="23" t="n">
        <v>0</v>
      </c>
    </row>
    <row r="74">
      <c r="A74" s="23" t="inlineStr">
        <is>
          <t>e073</t>
        </is>
      </c>
      <c r="B74" s="23" t="inlineStr">
        <is>
          <t>Greg W.</t>
        </is>
      </c>
      <c r="C74" s="23" t="n">
        <v>77</v>
      </c>
      <c r="D74" s="23" t="inlineStr">
        <is>
          <t>retiree</t>
        </is>
      </c>
      <c r="E74" s="23" t="inlineStr">
        <is>
          <t>No</t>
        </is>
      </c>
      <c r="F74" s="23" t="inlineStr">
        <is>
          <t>Morgan Creek</t>
        </is>
      </c>
      <c r="G74" s="23" t="inlineStr">
        <is>
          <t>low</t>
        </is>
      </c>
      <c r="H74" s="23" t="inlineStr">
        <is>
          <t>history, farmers market</t>
        </is>
      </c>
      <c r="I74" s="23" t="inlineStr">
        <is>
          <t>book club</t>
        </is>
      </c>
      <c r="J74" s="23" t="inlineStr">
        <is>
          <t>-</t>
        </is>
      </c>
      <c r="K74" s="23" t="inlineStr">
        <is>
          <t>board games, volunteering, tubing</t>
        </is>
      </c>
      <c r="L74" s="23" t="inlineStr">
        <is>
          <t>early mornings</t>
        </is>
      </c>
      <c r="M74" s="23" t="inlineStr">
        <is>
          <t>T1, T2</t>
        </is>
      </c>
      <c r="N74" s="23" t="n">
        <v>1</v>
      </c>
      <c r="O74" s="23" t="n">
        <v>1</v>
      </c>
    </row>
    <row r="75">
      <c r="A75" s="23" t="inlineStr">
        <is>
          <t>e074</t>
        </is>
      </c>
      <c r="B75" s="23" t="inlineStr">
        <is>
          <t>Rohan L.</t>
        </is>
      </c>
      <c r="C75" s="23" t="n">
        <v>60</v>
      </c>
      <c r="D75" s="23" t="inlineStr">
        <is>
          <t>commuter</t>
        </is>
      </c>
      <c r="E75" s="23" t="inlineStr">
        <is>
          <t>No</t>
        </is>
      </c>
      <c r="F75" s="23" t="inlineStr">
        <is>
          <t>Ten Trails</t>
        </is>
      </c>
      <c r="G75" s="23" t="inlineStr">
        <is>
          <t>any</t>
        </is>
      </c>
      <c r="H75" s="23" t="inlineStr">
        <is>
          <t>craft beer, golf, dining</t>
        </is>
      </c>
      <c r="I75" s="23" t="inlineStr">
        <is>
          <t>cooking</t>
        </is>
      </c>
      <c r="J75" s="23" t="inlineStr">
        <is>
          <t>-</t>
        </is>
      </c>
      <c r="K75" s="23" t="inlineStr">
        <is>
          <t>mountain biking, history, birding</t>
        </is>
      </c>
      <c r="L75" s="23" t="inlineStr">
        <is>
          <t>spending money</t>
        </is>
      </c>
      <c r="M75" s="23" t="inlineStr">
        <is>
          <t>P1, T1, P2, T2</t>
        </is>
      </c>
      <c r="N75" s="23" t="n">
        <v>4</v>
      </c>
      <c r="O75" s="23" t="n">
        <v>3</v>
      </c>
    </row>
    <row r="76">
      <c r="A76" s="23" t="inlineStr">
        <is>
          <t>e075</t>
        </is>
      </c>
      <c r="B76" s="23" t="inlineStr">
        <is>
          <t>Rosa G.</t>
        </is>
      </c>
      <c r="C76" s="23" t="n">
        <v>43</v>
      </c>
      <c r="D76" s="23" t="inlineStr">
        <is>
          <t>commuter</t>
        </is>
      </c>
      <c r="E76" s="23" t="inlineStr">
        <is>
          <t>No</t>
        </is>
      </c>
      <c r="F76" s="23" t="inlineStr">
        <is>
          <t>Downtown</t>
        </is>
      </c>
      <c r="G76" s="23" t="inlineStr">
        <is>
          <t>low</t>
        </is>
      </c>
      <c r="H76" s="23" t="inlineStr">
        <is>
          <t>craft beer, watch sports, baseball</t>
        </is>
      </c>
      <c r="I76" s="23" t="inlineStr">
        <is>
          <t>hiking, yoga</t>
        </is>
      </c>
      <c r="J76" s="23" t="inlineStr">
        <is>
          <t>golf</t>
        </is>
      </c>
      <c r="K76" s="23" t="inlineStr">
        <is>
          <t>bmx</t>
        </is>
      </c>
      <c r="L76" s="23" t="inlineStr">
        <is>
          <t>-</t>
        </is>
      </c>
      <c r="M76" s="23" t="inlineStr">
        <is>
          <t>S, P1, T1, P2, T2</t>
        </is>
      </c>
      <c r="N76" s="23" t="n">
        <v>11</v>
      </c>
      <c r="O76" s="23" t="n">
        <v>9</v>
      </c>
    </row>
    <row r="77">
      <c r="A77" s="23" t="inlineStr">
        <is>
          <t>e076</t>
        </is>
      </c>
      <c r="B77" s="23" t="inlineStr">
        <is>
          <t>Nora J.</t>
        </is>
      </c>
      <c r="C77" s="23" t="n">
        <v>21</v>
      </c>
      <c r="D77" s="23" t="inlineStr">
        <is>
          <t>student</t>
        </is>
      </c>
      <c r="E77" s="23" t="inlineStr">
        <is>
          <t>No</t>
        </is>
      </c>
      <c r="F77" s="23" t="inlineStr">
        <is>
          <t>Black Diamond Ridge</t>
        </is>
      </c>
      <c r="G77" s="23" t="inlineStr">
        <is>
          <t>low</t>
        </is>
      </c>
      <c r="H77" s="23" t="inlineStr">
        <is>
          <t>yoga, boating</t>
        </is>
      </c>
      <c r="I77" s="23" t="inlineStr">
        <is>
          <t>board games, mountain biking, swimming</t>
        </is>
      </c>
      <c r="J77" s="23" t="inlineStr">
        <is>
          <t>trivia</t>
        </is>
      </c>
      <c r="K77" s="23" t="inlineStr">
        <is>
          <t>picnics</t>
        </is>
      </c>
      <c r="L77" s="23" t="inlineStr">
        <is>
          <t>loud places, early mornings</t>
        </is>
      </c>
      <c r="M77" s="23" t="inlineStr">
        <is>
          <t>T1, T2</t>
        </is>
      </c>
      <c r="N77" s="23" t="n">
        <v>1</v>
      </c>
      <c r="O77" s="23" t="n">
        <v>1</v>
      </c>
    </row>
    <row r="78">
      <c r="A78" s="23" t="inlineStr">
        <is>
          <t>e077</t>
        </is>
      </c>
      <c r="B78" s="23" t="inlineStr">
        <is>
          <t>Scott R.</t>
        </is>
      </c>
      <c r="C78" s="23" t="n">
        <v>31</v>
      </c>
      <c r="D78" s="23" t="inlineStr">
        <is>
          <t>commuter</t>
        </is>
      </c>
      <c r="E78" s="23" t="inlineStr">
        <is>
          <t>Yes</t>
        </is>
      </c>
      <c r="F78" s="23" t="inlineStr">
        <is>
          <t>Downtown</t>
        </is>
      </c>
      <c r="G78" s="23" t="inlineStr">
        <is>
          <t>any</t>
        </is>
      </c>
      <c r="H78" s="23" t="inlineStr">
        <is>
          <t>basketball</t>
        </is>
      </c>
      <c r="I78" s="23" t="inlineStr">
        <is>
          <t>live music</t>
        </is>
      </c>
      <c r="J78" s="23" t="inlineStr">
        <is>
          <t>baking</t>
        </is>
      </c>
      <c r="K78" s="23" t="inlineStr">
        <is>
          <t>cards</t>
        </is>
      </c>
      <c r="L78" s="23" t="inlineStr">
        <is>
          <t>-</t>
        </is>
      </c>
      <c r="M78" s="23" t="inlineStr">
        <is>
          <t>T1, T2</t>
        </is>
      </c>
      <c r="N78" s="23" t="n">
        <v>0</v>
      </c>
      <c r="O78" s="23" t="n">
        <v>0</v>
      </c>
    </row>
    <row r="79">
      <c r="A79" s="23" t="inlineStr">
        <is>
          <t>e078</t>
        </is>
      </c>
      <c r="B79" s="23" t="inlineStr">
        <is>
          <t>Kevin N.</t>
        </is>
      </c>
      <c r="C79" s="23" t="n">
        <v>30</v>
      </c>
      <c r="D79" s="23" t="inlineStr">
        <is>
          <t>commuter</t>
        </is>
      </c>
      <c r="E79" s="23" t="inlineStr">
        <is>
          <t>No</t>
        </is>
      </c>
      <c r="F79" s="23" t="inlineStr">
        <is>
          <t>Lawson Hills</t>
        </is>
      </c>
      <c r="G79" s="23" t="inlineStr">
        <is>
          <t>low</t>
        </is>
      </c>
      <c r="H79" s="23" t="inlineStr">
        <is>
          <t>dining, pickleball, baseball</t>
        </is>
      </c>
      <c r="I79" s="23" t="inlineStr">
        <is>
          <t>running, live music</t>
        </is>
      </c>
      <c r="J79" s="23" t="inlineStr">
        <is>
          <t>trivia</t>
        </is>
      </c>
      <c r="K79" s="23" t="inlineStr">
        <is>
          <t>kayaking, hiking</t>
        </is>
      </c>
      <c r="L79" s="23" t="inlineStr">
        <is>
          <t>long drives</t>
        </is>
      </c>
      <c r="M79" s="23" t="inlineStr">
        <is>
          <t>P1, T1, P2, T2</t>
        </is>
      </c>
      <c r="N79" s="23" t="n">
        <v>7</v>
      </c>
      <c r="O79" s="23" t="n">
        <v>6</v>
      </c>
    </row>
    <row r="80">
      <c r="A80" s="23" t="inlineStr">
        <is>
          <t>e079</t>
        </is>
      </c>
      <c r="B80" s="23" t="inlineStr">
        <is>
          <t>Claire N.</t>
        </is>
      </c>
      <c r="C80" s="23" t="n">
        <v>30</v>
      </c>
      <c r="D80" s="23" t="inlineStr">
        <is>
          <t>parent at home</t>
        </is>
      </c>
      <c r="E80" s="23" t="inlineStr">
        <is>
          <t>Yes</t>
        </is>
      </c>
      <c r="F80" s="23" t="inlineStr">
        <is>
          <t>Downtown</t>
        </is>
      </c>
      <c r="G80" s="23" t="inlineStr">
        <is>
          <t>any</t>
        </is>
      </c>
      <c r="H80" s="23" t="inlineStr">
        <is>
          <t>farmers market, crafts</t>
        </is>
      </c>
      <c r="I80" s="23" t="inlineStr">
        <is>
          <t>baking, baseball</t>
        </is>
      </c>
      <c r="J80" s="23" t="inlineStr">
        <is>
          <t>dog walks</t>
        </is>
      </c>
      <c r="K80" s="23" t="inlineStr">
        <is>
          <t>watch sports, rc planes, running</t>
        </is>
      </c>
      <c r="L80" s="23" t="inlineStr">
        <is>
          <t>crowds</t>
        </is>
      </c>
      <c r="M80" s="23" t="inlineStr">
        <is>
          <t>T1, T2</t>
        </is>
      </c>
      <c r="N80" s="23" t="n">
        <v>0</v>
      </c>
      <c r="O80" s="23" t="n">
        <v>0</v>
      </c>
    </row>
    <row r="81">
      <c r="A81" s="23" t="inlineStr">
        <is>
          <t>e080</t>
        </is>
      </c>
      <c r="B81" s="23" t="inlineStr">
        <is>
          <t>Lauren W.</t>
        </is>
      </c>
      <c r="C81" s="23" t="n">
        <v>61</v>
      </c>
      <c r="D81" s="23" t="inlineStr">
        <is>
          <t>remote worker</t>
        </is>
      </c>
      <c r="E81" s="23" t="inlineStr">
        <is>
          <t>No</t>
        </is>
      </c>
      <c r="F81" s="23" t="inlineStr">
        <is>
          <t>Morgan Creek</t>
        </is>
      </c>
      <c r="G81" s="23" t="inlineStr">
        <is>
          <t>any</t>
        </is>
      </c>
      <c r="H81" s="23" t="inlineStr">
        <is>
          <t>-</t>
        </is>
      </c>
      <c r="I81" s="23" t="inlineStr">
        <is>
          <t>coffee, kayaking, book club, watch sports</t>
        </is>
      </c>
      <c r="J81" s="23" t="inlineStr">
        <is>
          <t>photography</t>
        </is>
      </c>
      <c r="K81" s="23" t="inlineStr">
        <is>
          <t>crafts, hiking, bmx</t>
        </is>
      </c>
      <c r="L81" s="23" t="inlineStr">
        <is>
          <t>loud places</t>
        </is>
      </c>
      <c r="M81" s="23" t="inlineStr">
        <is>
          <t>T1, T2</t>
        </is>
      </c>
      <c r="N81" s="23" t="n">
        <v>0</v>
      </c>
      <c r="O81" s="23" t="n">
        <v>0</v>
      </c>
    </row>
    <row r="82">
      <c r="A82" s="23" t="inlineStr">
        <is>
          <t>e081</t>
        </is>
      </c>
      <c r="B82" s="23" t="inlineStr">
        <is>
          <t>Andres T.</t>
        </is>
      </c>
      <c r="C82" s="23" t="n">
        <v>64</v>
      </c>
      <c r="D82" s="23" t="inlineStr">
        <is>
          <t>commuter</t>
        </is>
      </c>
      <c r="E82" s="23" t="inlineStr">
        <is>
          <t>No</t>
        </is>
      </c>
      <c r="F82" s="23" t="inlineStr">
        <is>
          <t>Morgan Creek</t>
        </is>
      </c>
      <c r="G82" s="23" t="inlineStr">
        <is>
          <t>any</t>
        </is>
      </c>
      <c r="H82" s="23" t="inlineStr">
        <is>
          <t>pickleball, boating</t>
        </is>
      </c>
      <c r="I82" s="23" t="inlineStr">
        <is>
          <t>live music, dining, hiking</t>
        </is>
      </c>
      <c r="J82" s="23" t="inlineStr">
        <is>
          <t>volunteering</t>
        </is>
      </c>
      <c r="K82" s="23" t="inlineStr">
        <is>
          <t>board games, photography, fishing</t>
        </is>
      </c>
      <c r="L82" s="23" t="inlineStr">
        <is>
          <t>-</t>
        </is>
      </c>
      <c r="M82" s="23" t="inlineStr">
        <is>
          <t>P1, T1, P2, T2</t>
        </is>
      </c>
      <c r="N82" s="23" t="n">
        <v>7</v>
      </c>
      <c r="O82" s="23" t="n">
        <v>6</v>
      </c>
    </row>
    <row r="83">
      <c r="A83" s="23" t="inlineStr">
        <is>
          <t>e082</t>
        </is>
      </c>
      <c r="B83" s="23" t="inlineStr">
        <is>
          <t>Isabel G.</t>
        </is>
      </c>
      <c r="C83" s="23" t="n">
        <v>23</v>
      </c>
      <c r="D83" s="23" t="inlineStr">
        <is>
          <t>commuter</t>
        </is>
      </c>
      <c r="E83" s="23" t="inlineStr">
        <is>
          <t>No</t>
        </is>
      </c>
      <c r="F83" s="23" t="inlineStr">
        <is>
          <t>Lake Sawyer</t>
        </is>
      </c>
      <c r="G83" s="23" t="inlineStr">
        <is>
          <t>free</t>
        </is>
      </c>
      <c r="H83" s="23" t="inlineStr">
        <is>
          <t>running, craft beer, dog walks, baseball</t>
        </is>
      </c>
      <c r="I83" s="23" t="inlineStr">
        <is>
          <t>hiking</t>
        </is>
      </c>
      <c r="J83" s="23" t="inlineStr">
        <is>
          <t>live music</t>
        </is>
      </c>
      <c r="K83" s="23" t="inlineStr">
        <is>
          <t>birding, pickleball</t>
        </is>
      </c>
      <c r="L83" s="23" t="inlineStr">
        <is>
          <t>competitive, crowds</t>
        </is>
      </c>
      <c r="M83" s="23" t="inlineStr">
        <is>
          <t>P1, T1, P2, T2</t>
        </is>
      </c>
      <c r="N83" s="23" t="n">
        <v>9</v>
      </c>
      <c r="O83" s="23" t="n">
        <v>8</v>
      </c>
    </row>
    <row r="84">
      <c r="A84" s="23" t="inlineStr">
        <is>
          <t>e083</t>
        </is>
      </c>
      <c r="B84" s="23" t="inlineStr">
        <is>
          <t>Camila R.</t>
        </is>
      </c>
      <c r="C84" s="23" t="n">
        <v>53</v>
      </c>
      <c r="D84" s="23" t="inlineStr">
        <is>
          <t>commuter</t>
        </is>
      </c>
      <c r="E84" s="23" t="inlineStr">
        <is>
          <t>Yes</t>
        </is>
      </c>
      <c r="F84" s="23" t="inlineStr">
        <is>
          <t>Black Diamond Ridge</t>
        </is>
      </c>
      <c r="G84" s="23" t="inlineStr">
        <is>
          <t>low</t>
        </is>
      </c>
      <c r="H84" s="23" t="inlineStr">
        <is>
          <t>-</t>
        </is>
      </c>
      <c r="I84" s="23" t="inlineStr">
        <is>
          <t>pickleball, crafts</t>
        </is>
      </c>
      <c r="J84" s="23" t="inlineStr">
        <is>
          <t>watch sports, running</t>
        </is>
      </c>
      <c r="K84" s="23" t="inlineStr">
        <is>
          <t>history, fishing</t>
        </is>
      </c>
      <c r="L84" s="23" t="inlineStr">
        <is>
          <t>spending money</t>
        </is>
      </c>
      <c r="M84" s="23" t="inlineStr">
        <is>
          <t>T1, T2</t>
        </is>
      </c>
      <c r="N84" s="23" t="n">
        <v>2</v>
      </c>
      <c r="O84" s="23" t="n">
        <v>1</v>
      </c>
    </row>
    <row r="85">
      <c r="A85" s="23" t="inlineStr">
        <is>
          <t>e084</t>
        </is>
      </c>
      <c r="B85" s="23" t="inlineStr">
        <is>
          <t>Wei S.</t>
        </is>
      </c>
      <c r="C85" s="23" t="n">
        <v>30</v>
      </c>
      <c r="D85" s="23" t="inlineStr">
        <is>
          <t>commuter</t>
        </is>
      </c>
      <c r="E85" s="23" t="inlineStr">
        <is>
          <t>No</t>
        </is>
      </c>
      <c r="F85" s="23" t="inlineStr">
        <is>
          <t>Ten Trails</t>
        </is>
      </c>
      <c r="G85" s="23" t="inlineStr">
        <is>
          <t>low</t>
        </is>
      </c>
      <c r="H85" s="23" t="inlineStr">
        <is>
          <t>birding</t>
        </is>
      </c>
      <c r="I85" s="23" t="inlineStr">
        <is>
          <t>dining</t>
        </is>
      </c>
      <c r="J85" s="23" t="inlineStr">
        <is>
          <t>live music, pickleball, history</t>
        </is>
      </c>
      <c r="K85" s="23" t="inlineStr">
        <is>
          <t>dog walks, volunteering, cards</t>
        </is>
      </c>
      <c r="L85" s="23" t="inlineStr">
        <is>
          <t>-</t>
        </is>
      </c>
      <c r="M85" s="23" t="inlineStr">
        <is>
          <t>T1, T2</t>
        </is>
      </c>
      <c r="N85" s="23" t="n">
        <v>0</v>
      </c>
      <c r="O85" s="23" t="n">
        <v>0</v>
      </c>
    </row>
    <row r="86">
      <c r="A86" s="23" t="inlineStr">
        <is>
          <t>e085</t>
        </is>
      </c>
      <c r="B86" s="23" t="inlineStr">
        <is>
          <t>Cody B.</t>
        </is>
      </c>
      <c r="C86" s="23" t="n">
        <v>40</v>
      </c>
      <c r="D86" s="23" t="inlineStr">
        <is>
          <t>shift worker</t>
        </is>
      </c>
      <c r="E86" s="23" t="inlineStr">
        <is>
          <t>No</t>
        </is>
      </c>
      <c r="F86" s="23" t="inlineStr">
        <is>
          <t>Lake Sawyer</t>
        </is>
      </c>
      <c r="G86" s="23" t="inlineStr">
        <is>
          <t>any</t>
        </is>
      </c>
      <c r="H86" s="23" t="inlineStr">
        <is>
          <t>craft beer, mountain biking, book club, basketball</t>
        </is>
      </c>
      <c r="I86" s="23" t="inlineStr">
        <is>
          <t>hiking, coffee</t>
        </is>
      </c>
      <c r="J86" s="23" t="inlineStr">
        <is>
          <t>-</t>
        </is>
      </c>
      <c r="K86" s="23" t="inlineStr">
        <is>
          <t>baseball, running, dog walks</t>
        </is>
      </c>
      <c r="L86" s="23" t="inlineStr">
        <is>
          <t>competitive</t>
        </is>
      </c>
      <c r="M86" s="23" t="inlineStr">
        <is>
          <t>T1, T2</t>
        </is>
      </c>
      <c r="N86" s="23" t="n">
        <v>2</v>
      </c>
      <c r="O86" s="23" t="n">
        <v>1</v>
      </c>
    </row>
    <row r="87">
      <c r="A87" s="23" t="inlineStr">
        <is>
          <t>e086</t>
        </is>
      </c>
      <c r="B87" s="23" t="inlineStr">
        <is>
          <t>Hannah C.</t>
        </is>
      </c>
      <c r="C87" s="23" t="n">
        <v>44</v>
      </c>
      <c r="D87" s="23" t="inlineStr">
        <is>
          <t>remote worker</t>
        </is>
      </c>
      <c r="E87" s="23" t="inlineStr">
        <is>
          <t>Yes</t>
        </is>
      </c>
      <c r="F87" s="23" t="inlineStr">
        <is>
          <t>Ten Trails</t>
        </is>
      </c>
      <c r="G87" s="23" t="inlineStr">
        <is>
          <t>any</t>
        </is>
      </c>
      <c r="H87" s="23" t="inlineStr">
        <is>
          <t>book club, baking</t>
        </is>
      </c>
      <c r="I87" s="23" t="inlineStr">
        <is>
          <t>kayaking, hiking, mountain biking</t>
        </is>
      </c>
      <c r="J87" s="23" t="inlineStr">
        <is>
          <t>running</t>
        </is>
      </c>
      <c r="K87" s="23" t="inlineStr">
        <is>
          <t>craft beer, crafts, fishing</t>
        </is>
      </c>
      <c r="L87" s="23" t="inlineStr">
        <is>
          <t>-</t>
        </is>
      </c>
      <c r="M87" s="23" t="inlineStr">
        <is>
          <t>T1, T2</t>
        </is>
      </c>
      <c r="N87" s="23" t="n">
        <v>1</v>
      </c>
      <c r="O87" s="23" t="n">
        <v>1</v>
      </c>
    </row>
    <row r="88">
      <c r="A88" s="23" t="inlineStr">
        <is>
          <t>e087</t>
        </is>
      </c>
      <c r="B88" s="23" t="inlineStr">
        <is>
          <t>Jim F.</t>
        </is>
      </c>
      <c r="C88" s="23" t="n">
        <v>35</v>
      </c>
      <c r="D88" s="23" t="inlineStr">
        <is>
          <t>remote worker</t>
        </is>
      </c>
      <c r="E88" s="23" t="inlineStr">
        <is>
          <t>Yes</t>
        </is>
      </c>
      <c r="F88" s="23" t="inlineStr">
        <is>
          <t>Lake Sawyer</t>
        </is>
      </c>
      <c r="G88" s="23" t="inlineStr">
        <is>
          <t>free</t>
        </is>
      </c>
      <c r="H88" s="23" t="inlineStr">
        <is>
          <t>boating, baseball</t>
        </is>
      </c>
      <c r="I88" s="23" t="inlineStr">
        <is>
          <t>coffee, craft beer</t>
        </is>
      </c>
      <c r="J88" s="23" t="inlineStr">
        <is>
          <t>baking</t>
        </is>
      </c>
      <c r="K88" s="23" t="inlineStr">
        <is>
          <t>bmx, dog walks</t>
        </is>
      </c>
      <c r="L88" s="23" t="inlineStr">
        <is>
          <t>-</t>
        </is>
      </c>
      <c r="M88" s="23" t="inlineStr">
        <is>
          <t>T1, T2</t>
        </is>
      </c>
      <c r="N88" s="23" t="n">
        <v>0</v>
      </c>
      <c r="O88" s="23" t="n">
        <v>0</v>
      </c>
    </row>
    <row r="89">
      <c r="A89" s="23" t="inlineStr">
        <is>
          <t>e088</t>
        </is>
      </c>
      <c r="B89" s="23" t="inlineStr">
        <is>
          <t>Hannah R.</t>
        </is>
      </c>
      <c r="C89" s="23" t="n">
        <v>84</v>
      </c>
      <c r="D89" s="23" t="inlineStr">
        <is>
          <t>remote worker</t>
        </is>
      </c>
      <c r="E89" s="23" t="inlineStr">
        <is>
          <t>No</t>
        </is>
      </c>
      <c r="F89" s="23" t="inlineStr">
        <is>
          <t>Lawson Hills</t>
        </is>
      </c>
      <c r="G89" s="23" t="inlineStr">
        <is>
          <t>any</t>
        </is>
      </c>
      <c r="H89" s="23" t="inlineStr">
        <is>
          <t>running, coffee, basketball</t>
        </is>
      </c>
      <c r="I89" s="23" t="inlineStr">
        <is>
          <t>-</t>
        </is>
      </c>
      <c r="J89" s="23" t="inlineStr">
        <is>
          <t>photography, watch sports</t>
        </is>
      </c>
      <c r="K89" s="23" t="inlineStr">
        <is>
          <t>bmx</t>
        </is>
      </c>
      <c r="L89" s="23" t="inlineStr">
        <is>
          <t>-</t>
        </is>
      </c>
      <c r="M89" s="23" t="inlineStr">
        <is>
          <t>P1, T1, P2, T2</t>
        </is>
      </c>
      <c r="N89" s="23" t="n">
        <v>5</v>
      </c>
      <c r="O89" s="23" t="n">
        <v>5</v>
      </c>
    </row>
    <row r="90">
      <c r="A90" s="23" t="inlineStr">
        <is>
          <t>e089</t>
        </is>
      </c>
      <c r="B90" s="23" t="inlineStr">
        <is>
          <t>Ron L.</t>
        </is>
      </c>
      <c r="C90" s="23" t="n">
        <v>55</v>
      </c>
      <c r="D90" s="23" t="inlineStr">
        <is>
          <t>parent at home</t>
        </is>
      </c>
      <c r="E90" s="23" t="inlineStr">
        <is>
          <t>Yes</t>
        </is>
      </c>
      <c r="F90" s="23" t="inlineStr">
        <is>
          <t>Ten Trails</t>
        </is>
      </c>
      <c r="G90" s="23" t="inlineStr">
        <is>
          <t>low</t>
        </is>
      </c>
      <c r="H90" s="23" t="inlineStr">
        <is>
          <t>baseball, yoga</t>
        </is>
      </c>
      <c r="I90" s="23" t="inlineStr">
        <is>
          <t>dog walks</t>
        </is>
      </c>
      <c r="J90" s="23" t="inlineStr">
        <is>
          <t>-</t>
        </is>
      </c>
      <c r="K90" s="23" t="inlineStr">
        <is>
          <t>cooking, farmers market, basketball</t>
        </is>
      </c>
      <c r="L90" s="23" t="inlineStr">
        <is>
          <t>loud places, early mornings</t>
        </is>
      </c>
      <c r="M90" s="23" t="inlineStr">
        <is>
          <t>T1, T2</t>
        </is>
      </c>
      <c r="N90" s="23" t="n">
        <v>0</v>
      </c>
      <c r="O90" s="23" t="n">
        <v>0</v>
      </c>
    </row>
    <row r="91">
      <c r="A91" s="23" t="inlineStr">
        <is>
          <t>e090</t>
        </is>
      </c>
      <c r="B91" s="23" t="inlineStr">
        <is>
          <t>Greg H.</t>
        </is>
      </c>
      <c r="C91" s="23" t="n">
        <v>51</v>
      </c>
      <c r="D91" s="23" t="inlineStr">
        <is>
          <t>remote worker</t>
        </is>
      </c>
      <c r="E91" s="23" t="inlineStr">
        <is>
          <t>Yes</t>
        </is>
      </c>
      <c r="F91" s="23" t="inlineStr">
        <is>
          <t>Ten Trails</t>
        </is>
      </c>
      <c r="G91" s="23" t="inlineStr">
        <is>
          <t>any</t>
        </is>
      </c>
      <c r="H91" s="23" t="inlineStr">
        <is>
          <t>yoga, book club</t>
        </is>
      </c>
      <c r="I91" s="23" t="inlineStr">
        <is>
          <t>photography, craft beer, bmx</t>
        </is>
      </c>
      <c r="J91" s="23" t="inlineStr">
        <is>
          <t>-</t>
        </is>
      </c>
      <c r="K91" s="23" t="inlineStr">
        <is>
          <t>mountain biking</t>
        </is>
      </c>
      <c r="L91" s="23" t="inlineStr">
        <is>
          <t>crowds, competitive</t>
        </is>
      </c>
      <c r="M91" s="23" t="inlineStr">
        <is>
          <t>T1, T2</t>
        </is>
      </c>
      <c r="N91" s="23" t="n">
        <v>0</v>
      </c>
      <c r="O91" s="23" t="n">
        <v>0</v>
      </c>
    </row>
    <row r="92">
      <c r="A92" s="23" t="inlineStr">
        <is>
          <t>e091</t>
        </is>
      </c>
      <c r="B92" s="23" t="inlineStr">
        <is>
          <t>Wyatt H.</t>
        </is>
      </c>
      <c r="C92" s="23" t="n">
        <v>21</v>
      </c>
      <c r="D92" s="23" t="inlineStr">
        <is>
          <t>student</t>
        </is>
      </c>
      <c r="E92" s="23" t="inlineStr">
        <is>
          <t>No</t>
        </is>
      </c>
      <c r="F92" s="23" t="inlineStr">
        <is>
          <t>Lake Sawyer</t>
        </is>
      </c>
      <c r="G92" s="23" t="inlineStr">
        <is>
          <t>any</t>
        </is>
      </c>
      <c r="H92" s="23" t="inlineStr">
        <is>
          <t>mountain biking, cooking</t>
        </is>
      </c>
      <c r="I92" s="23" t="inlineStr">
        <is>
          <t>swimming, basketball, golf</t>
        </is>
      </c>
      <c r="J92" s="23" t="inlineStr">
        <is>
          <t>-</t>
        </is>
      </c>
      <c r="K92" s="23" t="inlineStr">
        <is>
          <t>farmers market, photography, baseball</t>
        </is>
      </c>
      <c r="L92" s="23" t="inlineStr">
        <is>
          <t>-</t>
        </is>
      </c>
      <c r="M92" s="23" t="inlineStr">
        <is>
          <t>T1, T2</t>
        </is>
      </c>
      <c r="N92" s="23" t="n">
        <v>2</v>
      </c>
      <c r="O92" s="23" t="n">
        <v>2</v>
      </c>
    </row>
    <row r="93">
      <c r="A93" s="23" t="inlineStr">
        <is>
          <t>e092</t>
        </is>
      </c>
      <c r="B93" s="23" t="inlineStr">
        <is>
          <t>Aaliyah J.</t>
        </is>
      </c>
      <c r="C93" s="23" t="n">
        <v>35</v>
      </c>
      <c r="D93" s="23" t="inlineStr">
        <is>
          <t>shift worker</t>
        </is>
      </c>
      <c r="E93" s="23" t="inlineStr">
        <is>
          <t>No</t>
        </is>
      </c>
      <c r="F93" s="23" t="inlineStr">
        <is>
          <t>Downtown</t>
        </is>
      </c>
      <c r="G93" s="23" t="inlineStr">
        <is>
          <t>free</t>
        </is>
      </c>
      <c r="H93" s="23" t="inlineStr">
        <is>
          <t>mountain biking</t>
        </is>
      </c>
      <c r="I93" s="23" t="inlineStr">
        <is>
          <t>cards, yoga</t>
        </is>
      </c>
      <c r="J93" s="23" t="inlineStr">
        <is>
          <t>-</t>
        </is>
      </c>
      <c r="K93" s="23" t="inlineStr">
        <is>
          <t>picnics</t>
        </is>
      </c>
      <c r="L93" s="23" t="inlineStr">
        <is>
          <t>crowds</t>
        </is>
      </c>
      <c r="M93" s="23" t="inlineStr">
        <is>
          <t>T1, T2</t>
        </is>
      </c>
      <c r="N93" s="23" t="n">
        <v>1</v>
      </c>
      <c r="O93" s="23" t="n">
        <v>1</v>
      </c>
    </row>
    <row r="94">
      <c r="A94" s="23" t="inlineStr">
        <is>
          <t>e093</t>
        </is>
      </c>
      <c r="B94" s="23" t="inlineStr">
        <is>
          <t>Matt W.</t>
        </is>
      </c>
      <c r="C94" s="23" t="n">
        <v>46</v>
      </c>
      <c r="D94" s="23" t="inlineStr">
        <is>
          <t>commuter</t>
        </is>
      </c>
      <c r="E94" s="23" t="inlineStr">
        <is>
          <t>No</t>
        </is>
      </c>
      <c r="F94" s="23" t="inlineStr">
        <is>
          <t>Ten Trails</t>
        </is>
      </c>
      <c r="G94" s="23" t="inlineStr">
        <is>
          <t>free</t>
        </is>
      </c>
      <c r="H94" s="23" t="inlineStr">
        <is>
          <t>running</t>
        </is>
      </c>
      <c r="I94" s="23" t="inlineStr">
        <is>
          <t>birding, farmers market</t>
        </is>
      </c>
      <c r="J94" s="23" t="inlineStr">
        <is>
          <t>craft beer, pickleball, live music</t>
        </is>
      </c>
      <c r="K94" s="23" t="inlineStr">
        <is>
          <t>board games</t>
        </is>
      </c>
      <c r="L94" s="23" t="inlineStr">
        <is>
          <t>-</t>
        </is>
      </c>
      <c r="M94" s="23" t="inlineStr">
        <is>
          <t>T1, T2</t>
        </is>
      </c>
      <c r="N94" s="23" t="n">
        <v>2</v>
      </c>
      <c r="O94" s="23" t="n">
        <v>2</v>
      </c>
    </row>
    <row r="95">
      <c r="A95" s="23" t="inlineStr">
        <is>
          <t>e094</t>
        </is>
      </c>
      <c r="B95" s="23" t="inlineStr">
        <is>
          <t>Cody F.</t>
        </is>
      </c>
      <c r="C95" s="23" t="n">
        <v>25</v>
      </c>
      <c r="D95" s="23" t="inlineStr">
        <is>
          <t>commuter</t>
        </is>
      </c>
      <c r="E95" s="23" t="inlineStr">
        <is>
          <t>No</t>
        </is>
      </c>
      <c r="F95" s="23" t="inlineStr">
        <is>
          <t>Ten Trails</t>
        </is>
      </c>
      <c r="G95" s="23" t="inlineStr">
        <is>
          <t>any</t>
        </is>
      </c>
      <c r="H95" s="23" t="inlineStr">
        <is>
          <t>golf, dining, watch sports</t>
        </is>
      </c>
      <c r="I95" s="23" t="inlineStr">
        <is>
          <t>hiking</t>
        </is>
      </c>
      <c r="J95" s="23" t="inlineStr">
        <is>
          <t>-</t>
        </is>
      </c>
      <c r="K95" s="23" t="inlineStr">
        <is>
          <t>mountain biking</t>
        </is>
      </c>
      <c r="L95" s="23" t="inlineStr">
        <is>
          <t>-</t>
        </is>
      </c>
      <c r="M95" s="23" t="inlineStr">
        <is>
          <t>S, T1, T2</t>
        </is>
      </c>
      <c r="N95" s="23" t="n">
        <v>3</v>
      </c>
      <c r="O95" s="23" t="n">
        <v>3</v>
      </c>
    </row>
    <row r="96">
      <c r="A96" s="23" t="inlineStr">
        <is>
          <t>e095</t>
        </is>
      </c>
      <c r="B96" s="23" t="inlineStr">
        <is>
          <t>Imani H.</t>
        </is>
      </c>
      <c r="C96" s="23" t="n">
        <v>56</v>
      </c>
      <c r="D96" s="23" t="inlineStr">
        <is>
          <t>commuter</t>
        </is>
      </c>
      <c r="E96" s="23" t="inlineStr">
        <is>
          <t>No</t>
        </is>
      </c>
      <c r="F96" s="23" t="inlineStr">
        <is>
          <t>Morgan Creek</t>
        </is>
      </c>
      <c r="G96" s="23" t="inlineStr">
        <is>
          <t>low</t>
        </is>
      </c>
      <c r="H96" s="23" t="inlineStr">
        <is>
          <t>dining, bmx</t>
        </is>
      </c>
      <c r="I96" s="23" t="inlineStr">
        <is>
          <t>running, live music</t>
        </is>
      </c>
      <c r="J96" s="23" t="inlineStr">
        <is>
          <t>-</t>
        </is>
      </c>
      <c r="K96" s="23" t="inlineStr">
        <is>
          <t>watch sports, mountain biking</t>
        </is>
      </c>
      <c r="L96" s="23" t="inlineStr">
        <is>
          <t>-</t>
        </is>
      </c>
      <c r="M96" s="23" t="inlineStr">
        <is>
          <t>T1, T2</t>
        </is>
      </c>
      <c r="N96" s="23" t="n">
        <v>0</v>
      </c>
      <c r="O96" s="23" t="n">
        <v>0</v>
      </c>
    </row>
    <row r="97">
      <c r="A97" s="23" t="inlineStr">
        <is>
          <t>e096</t>
        </is>
      </c>
      <c r="B97" s="23" t="inlineStr">
        <is>
          <t>Ellie O.</t>
        </is>
      </c>
      <c r="C97" s="23" t="n">
        <v>34</v>
      </c>
      <c r="D97" s="23" t="inlineStr">
        <is>
          <t>remote worker</t>
        </is>
      </c>
      <c r="E97" s="23" t="inlineStr">
        <is>
          <t>Yes</t>
        </is>
      </c>
      <c r="F97" s="23" t="inlineStr">
        <is>
          <t>Morgan Creek</t>
        </is>
      </c>
      <c r="G97" s="23" t="inlineStr">
        <is>
          <t>low</t>
        </is>
      </c>
      <c r="H97" s="23" t="inlineStr">
        <is>
          <t>photography, swimming</t>
        </is>
      </c>
      <c r="I97" s="23" t="inlineStr">
        <is>
          <t>mountain biking</t>
        </is>
      </c>
      <c r="J97" s="23" t="inlineStr">
        <is>
          <t>-</t>
        </is>
      </c>
      <c r="K97" s="23" t="inlineStr">
        <is>
          <t>basketball, farmers market, dining</t>
        </is>
      </c>
      <c r="L97" s="23" t="inlineStr">
        <is>
          <t>early mornings, long drives</t>
        </is>
      </c>
      <c r="M97" s="23" t="inlineStr">
        <is>
          <t>T1, T2</t>
        </is>
      </c>
      <c r="N97" s="23" t="n">
        <v>0</v>
      </c>
      <c r="O97" s="23" t="n">
        <v>0</v>
      </c>
    </row>
    <row r="98">
      <c r="A98" s="23" t="inlineStr">
        <is>
          <t>e097</t>
        </is>
      </c>
      <c r="B98" s="23" t="inlineStr">
        <is>
          <t>Minh L.</t>
        </is>
      </c>
      <c r="C98" s="23" t="n">
        <v>28</v>
      </c>
      <c r="D98" s="23" t="inlineStr">
        <is>
          <t>remote worker</t>
        </is>
      </c>
      <c r="E98" s="23" t="inlineStr">
        <is>
          <t>No</t>
        </is>
      </c>
      <c r="F98" s="23" t="inlineStr">
        <is>
          <t>Black Diamond Ridge</t>
        </is>
      </c>
      <c r="G98" s="23" t="inlineStr">
        <is>
          <t>any</t>
        </is>
      </c>
      <c r="H98" s="23" t="inlineStr">
        <is>
          <t>-</t>
        </is>
      </c>
      <c r="I98" s="23" t="inlineStr">
        <is>
          <t>yoga, hiking, watch sports</t>
        </is>
      </c>
      <c r="J98" s="23" t="inlineStr">
        <is>
          <t>-</t>
        </is>
      </c>
      <c r="K98" s="23" t="inlineStr">
        <is>
          <t>rc planes, basketball, swimming</t>
        </is>
      </c>
      <c r="L98" s="23" t="inlineStr">
        <is>
          <t>-</t>
        </is>
      </c>
      <c r="M98" s="23" t="inlineStr">
        <is>
          <t>T1, T2</t>
        </is>
      </c>
      <c r="N98" s="23" t="n">
        <v>0</v>
      </c>
      <c r="O98" s="23" t="n">
        <v>0</v>
      </c>
    </row>
    <row r="99">
      <c r="A99" s="23" t="inlineStr">
        <is>
          <t>e098</t>
        </is>
      </c>
      <c r="B99" s="23" t="inlineStr">
        <is>
          <t>Noah A.</t>
        </is>
      </c>
      <c r="C99" s="23" t="n">
        <v>37</v>
      </c>
      <c r="D99" s="23" t="inlineStr">
        <is>
          <t>commuter</t>
        </is>
      </c>
      <c r="E99" s="23" t="inlineStr">
        <is>
          <t>Yes</t>
        </is>
      </c>
      <c r="F99" s="23" t="inlineStr">
        <is>
          <t>Downtown</t>
        </is>
      </c>
      <c r="G99" s="23" t="inlineStr">
        <is>
          <t>any</t>
        </is>
      </c>
      <c r="H99" s="23" t="inlineStr">
        <is>
          <t>live music</t>
        </is>
      </c>
      <c r="I99" s="23" t="inlineStr">
        <is>
          <t>swimming, running, fishing</t>
        </is>
      </c>
      <c r="J99" s="23" t="inlineStr">
        <is>
          <t>hiking, kayaking</t>
        </is>
      </c>
      <c r="K99" s="23" t="inlineStr">
        <is>
          <t>board games, mountain biking</t>
        </is>
      </c>
      <c r="L99" s="23" t="inlineStr">
        <is>
          <t>-</t>
        </is>
      </c>
      <c r="M99" s="23" t="inlineStr">
        <is>
          <t>T1, T2</t>
        </is>
      </c>
      <c r="N99" s="23" t="n">
        <v>0</v>
      </c>
      <c r="O99" s="23" t="n">
        <v>0</v>
      </c>
    </row>
    <row r="100">
      <c r="A100" s="23" t="inlineStr">
        <is>
          <t>e099</t>
        </is>
      </c>
      <c r="B100" s="23" t="inlineStr">
        <is>
          <t>Rosa R.</t>
        </is>
      </c>
      <c r="C100" s="23" t="n">
        <v>54</v>
      </c>
      <c r="D100" s="23" t="inlineStr">
        <is>
          <t>commuter</t>
        </is>
      </c>
      <c r="E100" s="23" t="inlineStr">
        <is>
          <t>Yes</t>
        </is>
      </c>
      <c r="F100" s="23" t="inlineStr">
        <is>
          <t>Black Diamond Ridge</t>
        </is>
      </c>
      <c r="G100" s="23" t="inlineStr">
        <is>
          <t>any</t>
        </is>
      </c>
      <c r="H100" s="23" t="inlineStr">
        <is>
          <t>hiking, volunteering</t>
        </is>
      </c>
      <c r="I100" s="23" t="inlineStr">
        <is>
          <t>live music, craft beer</t>
        </is>
      </c>
      <c r="J100" s="23" t="inlineStr">
        <is>
          <t>-</t>
        </is>
      </c>
      <c r="K100" s="23" t="inlineStr">
        <is>
          <t>mountain biking</t>
        </is>
      </c>
      <c r="L100" s="23" t="inlineStr">
        <is>
          <t>competitive, early mornings</t>
        </is>
      </c>
      <c r="M100" s="23" t="inlineStr">
        <is>
          <t>T1, T2</t>
        </is>
      </c>
      <c r="N100" s="23" t="n">
        <v>0</v>
      </c>
      <c r="O100" s="23" t="n">
        <v>0</v>
      </c>
    </row>
    <row r="101">
      <c r="A101" s="23" t="inlineStr">
        <is>
          <t>e100</t>
        </is>
      </c>
      <c r="B101" s="23" t="inlineStr">
        <is>
          <t>Nora W.</t>
        </is>
      </c>
      <c r="C101" s="23" t="n">
        <v>48</v>
      </c>
      <c r="D101" s="23" t="inlineStr">
        <is>
          <t>shift worker</t>
        </is>
      </c>
      <c r="E101" s="23" t="inlineStr">
        <is>
          <t>No</t>
        </is>
      </c>
      <c r="F101" s="23" t="inlineStr">
        <is>
          <t>Lawson Hills</t>
        </is>
      </c>
      <c r="G101" s="23" t="inlineStr">
        <is>
          <t>low</t>
        </is>
      </c>
      <c r="H101" s="23" t="inlineStr">
        <is>
          <t>-</t>
        </is>
      </c>
      <c r="I101" s="23" t="inlineStr">
        <is>
          <t>hiking, watch sports</t>
        </is>
      </c>
      <c r="J101" s="23" t="inlineStr">
        <is>
          <t>cards, photography</t>
        </is>
      </c>
      <c r="K101" s="23" t="inlineStr">
        <is>
          <t>fishing, running, pickleball</t>
        </is>
      </c>
      <c r="L101" s="23" t="inlineStr">
        <is>
          <t>long drives</t>
        </is>
      </c>
      <c r="M101" s="23" t="inlineStr">
        <is>
          <t>T1, T2</t>
        </is>
      </c>
      <c r="N101" s="23" t="n">
        <v>1</v>
      </c>
      <c r="O101" s="23" t="n">
        <v>1</v>
      </c>
    </row>
    <row r="102">
      <c r="A102" s="23" t="inlineStr">
        <is>
          <t>e101</t>
        </is>
      </c>
      <c r="B102" s="23" t="inlineStr">
        <is>
          <t>Olivia O.</t>
        </is>
      </c>
      <c r="C102" s="23" t="n">
        <v>29</v>
      </c>
      <c r="D102" s="23" t="inlineStr">
        <is>
          <t>remote worker</t>
        </is>
      </c>
      <c r="E102" s="23" t="inlineStr">
        <is>
          <t>No</t>
        </is>
      </c>
      <c r="F102" s="23" t="inlineStr">
        <is>
          <t>Lawson Hills</t>
        </is>
      </c>
      <c r="G102" s="23" t="inlineStr">
        <is>
          <t>any</t>
        </is>
      </c>
      <c r="H102" s="23" t="inlineStr">
        <is>
          <t>yoga, running</t>
        </is>
      </c>
      <c r="I102" s="23" t="inlineStr">
        <is>
          <t>-</t>
        </is>
      </c>
      <c r="J102" s="23" t="inlineStr">
        <is>
          <t>coffee, tubing</t>
        </is>
      </c>
      <c r="K102" s="23" t="inlineStr">
        <is>
          <t>book club</t>
        </is>
      </c>
      <c r="L102" s="23" t="inlineStr">
        <is>
          <t>-</t>
        </is>
      </c>
      <c r="M102" s="23" t="inlineStr">
        <is>
          <t>T1, T2</t>
        </is>
      </c>
      <c r="N102" s="23" t="n">
        <v>1</v>
      </c>
      <c r="O102" s="23" t="n">
        <v>1</v>
      </c>
    </row>
    <row r="103">
      <c r="A103" s="23" t="inlineStr">
        <is>
          <t>e102</t>
        </is>
      </c>
      <c r="B103" s="23" t="inlineStr">
        <is>
          <t>Scott W.</t>
        </is>
      </c>
      <c r="C103" s="23" t="n">
        <v>58</v>
      </c>
      <c r="D103" s="23" t="inlineStr">
        <is>
          <t>commuter</t>
        </is>
      </c>
      <c r="E103" s="23" t="inlineStr">
        <is>
          <t>No</t>
        </is>
      </c>
      <c r="F103" s="23" t="inlineStr">
        <is>
          <t>Lawson Hills</t>
        </is>
      </c>
      <c r="G103" s="23" t="inlineStr">
        <is>
          <t>low</t>
        </is>
      </c>
      <c r="H103" s="23" t="inlineStr">
        <is>
          <t>hiking, pickleball, live music</t>
        </is>
      </c>
      <c r="I103" s="23" t="inlineStr">
        <is>
          <t>-</t>
        </is>
      </c>
      <c r="J103" s="23" t="inlineStr">
        <is>
          <t>coffee</t>
        </is>
      </c>
      <c r="K103" s="23" t="inlineStr">
        <is>
          <t>volunteering, trivia</t>
        </is>
      </c>
      <c r="L103" s="23" t="inlineStr">
        <is>
          <t>early mornings</t>
        </is>
      </c>
      <c r="M103" s="23" t="inlineStr">
        <is>
          <t>T1, T2</t>
        </is>
      </c>
      <c r="N103" s="23" t="n">
        <v>0</v>
      </c>
      <c r="O103" s="23" t="n">
        <v>0</v>
      </c>
    </row>
    <row r="104">
      <c r="A104" s="23" t="inlineStr">
        <is>
          <t>e103</t>
        </is>
      </c>
      <c r="B104" s="23" t="inlineStr">
        <is>
          <t>Janet A.</t>
        </is>
      </c>
      <c r="C104" s="23" t="n">
        <v>30</v>
      </c>
      <c r="D104" s="23" t="inlineStr">
        <is>
          <t>parent at home</t>
        </is>
      </c>
      <c r="E104" s="23" t="inlineStr">
        <is>
          <t>Yes</t>
        </is>
      </c>
      <c r="F104" s="23" t="inlineStr">
        <is>
          <t>Lawson Hills</t>
        </is>
      </c>
      <c r="G104" s="23" t="inlineStr">
        <is>
          <t>any</t>
        </is>
      </c>
      <c r="H104" s="23" t="inlineStr">
        <is>
          <t>-</t>
        </is>
      </c>
      <c r="I104" s="23" t="inlineStr">
        <is>
          <t>dog walks, baseball, tubing</t>
        </is>
      </c>
      <c r="J104" s="23" t="inlineStr">
        <is>
          <t>-</t>
        </is>
      </c>
      <c r="K104" s="23" t="inlineStr">
        <is>
          <t>board games</t>
        </is>
      </c>
      <c r="L104" s="23" t="inlineStr">
        <is>
          <t>-</t>
        </is>
      </c>
      <c r="M104" s="23" t="inlineStr">
        <is>
          <t>T1, T2</t>
        </is>
      </c>
      <c r="N104" s="23" t="n">
        <v>0</v>
      </c>
      <c r="O104" s="23" t="n">
        <v>0</v>
      </c>
    </row>
    <row r="105">
      <c r="A105" s="23" t="inlineStr">
        <is>
          <t>e104</t>
        </is>
      </c>
      <c r="B105" s="23" t="inlineStr">
        <is>
          <t>Susan L.</t>
        </is>
      </c>
      <c r="C105" s="23" t="n">
        <v>54</v>
      </c>
      <c r="D105" s="23" t="inlineStr">
        <is>
          <t>remote worker</t>
        </is>
      </c>
      <c r="E105" s="23" t="inlineStr">
        <is>
          <t>No</t>
        </is>
      </c>
      <c r="F105" s="23" t="inlineStr">
        <is>
          <t>Lake Sawyer</t>
        </is>
      </c>
      <c r="G105" s="23" t="inlineStr">
        <is>
          <t>free</t>
        </is>
      </c>
      <c r="H105" s="23" t="inlineStr">
        <is>
          <t>hiking</t>
        </is>
      </c>
      <c r="I105" s="23" t="inlineStr">
        <is>
          <t>yoga, photography, baseball</t>
        </is>
      </c>
      <c r="J105" s="23" t="inlineStr">
        <is>
          <t>craft beer</t>
        </is>
      </c>
      <c r="K105" s="23" t="inlineStr">
        <is>
          <t>picnics, volunteering</t>
        </is>
      </c>
      <c r="L105" s="23" t="inlineStr">
        <is>
          <t>-</t>
        </is>
      </c>
      <c r="M105" s="23" t="inlineStr">
        <is>
          <t>S, T1, T2</t>
        </is>
      </c>
      <c r="N105" s="23" t="n">
        <v>4</v>
      </c>
      <c r="O105" s="23" t="n">
        <v>4</v>
      </c>
    </row>
    <row r="106">
      <c r="A106" s="23" t="inlineStr">
        <is>
          <t>e105</t>
        </is>
      </c>
      <c r="B106" s="23" t="inlineStr">
        <is>
          <t>Josh L.</t>
        </is>
      </c>
      <c r="C106" s="23" t="n">
        <v>41</v>
      </c>
      <c r="D106" s="23" t="inlineStr">
        <is>
          <t>shift worker</t>
        </is>
      </c>
      <c r="E106" s="23" t="inlineStr">
        <is>
          <t>No</t>
        </is>
      </c>
      <c r="F106" s="23" t="inlineStr">
        <is>
          <t>Lake Sawyer</t>
        </is>
      </c>
      <c r="G106" s="23" t="inlineStr">
        <is>
          <t>free</t>
        </is>
      </c>
      <c r="H106" s="23" t="inlineStr">
        <is>
          <t>hiking, watch sports</t>
        </is>
      </c>
      <c r="I106" s="23" t="inlineStr">
        <is>
          <t>mountain biking, crafts</t>
        </is>
      </c>
      <c r="J106" s="23" t="inlineStr">
        <is>
          <t>coffee, bmx</t>
        </is>
      </c>
      <c r="K106" s="23" t="inlineStr">
        <is>
          <t>board games, birding, trivia</t>
        </is>
      </c>
      <c r="L106" s="23" t="inlineStr">
        <is>
          <t>long drives</t>
        </is>
      </c>
      <c r="M106" s="23" t="inlineStr">
        <is>
          <t>P1, T1, P2, T2</t>
        </is>
      </c>
      <c r="N106" s="23" t="n">
        <v>5</v>
      </c>
      <c r="O106" s="23" t="n">
        <v>4</v>
      </c>
    </row>
    <row r="107">
      <c r="A107" s="23" t="inlineStr">
        <is>
          <t>e106</t>
        </is>
      </c>
      <c r="B107" s="23" t="inlineStr">
        <is>
          <t>Carol L.</t>
        </is>
      </c>
      <c r="C107" s="23" t="n">
        <v>33</v>
      </c>
      <c r="D107" s="23" t="inlineStr">
        <is>
          <t>parent at home</t>
        </is>
      </c>
      <c r="E107" s="23" t="inlineStr">
        <is>
          <t>Yes</t>
        </is>
      </c>
      <c r="F107" s="23" t="inlineStr">
        <is>
          <t>Morgan Creek</t>
        </is>
      </c>
      <c r="G107" s="23" t="inlineStr">
        <is>
          <t>any</t>
        </is>
      </c>
      <c r="H107" s="23" t="inlineStr">
        <is>
          <t>baking, photography</t>
        </is>
      </c>
      <c r="I107" s="23" t="inlineStr">
        <is>
          <t>baseball</t>
        </is>
      </c>
      <c r="J107" s="23" t="inlineStr">
        <is>
          <t>-</t>
        </is>
      </c>
      <c r="K107" s="23" t="inlineStr">
        <is>
          <t>swimming</t>
        </is>
      </c>
      <c r="L107" s="23" t="inlineStr">
        <is>
          <t>competitive</t>
        </is>
      </c>
      <c r="M107" s="23" t="inlineStr">
        <is>
          <t>T1, T2</t>
        </is>
      </c>
      <c r="N107" s="23" t="n">
        <v>0</v>
      </c>
      <c r="O107" s="23" t="n">
        <v>0</v>
      </c>
    </row>
    <row r="108">
      <c r="A108" s="23" t="inlineStr">
        <is>
          <t>e107</t>
        </is>
      </c>
      <c r="B108" s="23" t="inlineStr">
        <is>
          <t>Jim C.</t>
        </is>
      </c>
      <c r="C108" s="23" t="n">
        <v>41</v>
      </c>
      <c r="D108" s="23" t="inlineStr">
        <is>
          <t>parent at home</t>
        </is>
      </c>
      <c r="E108" s="23" t="inlineStr">
        <is>
          <t>Yes</t>
        </is>
      </c>
      <c r="F108" s="23" t="inlineStr">
        <is>
          <t>Black Diamond Ridge</t>
        </is>
      </c>
      <c r="G108" s="23" t="inlineStr">
        <is>
          <t>any</t>
        </is>
      </c>
      <c r="H108" s="23" t="inlineStr">
        <is>
          <t>-</t>
        </is>
      </c>
      <c r="I108" s="23" t="inlineStr">
        <is>
          <t>cooking</t>
        </is>
      </c>
      <c r="J108" s="23" t="inlineStr">
        <is>
          <t>baseball, hiking</t>
        </is>
      </c>
      <c r="K108" s="23" t="inlineStr">
        <is>
          <t>board games, kayaking</t>
        </is>
      </c>
      <c r="L108" s="23" t="inlineStr">
        <is>
          <t>late nights, long drives</t>
        </is>
      </c>
      <c r="M108" s="23" t="inlineStr">
        <is>
          <t>T1, T2</t>
        </is>
      </c>
      <c r="N108" s="23" t="n">
        <v>0</v>
      </c>
      <c r="O108" s="23" t="n">
        <v>0</v>
      </c>
    </row>
    <row r="109">
      <c r="A109" s="23" t="inlineStr">
        <is>
          <t>e108</t>
        </is>
      </c>
      <c r="B109" s="23" t="inlineStr">
        <is>
          <t>Tariq J.</t>
        </is>
      </c>
      <c r="C109" s="23" t="n">
        <v>61</v>
      </c>
      <c r="D109" s="23" t="inlineStr">
        <is>
          <t>commuter</t>
        </is>
      </c>
      <c r="E109" s="23" t="inlineStr">
        <is>
          <t>No</t>
        </is>
      </c>
      <c r="F109" s="23" t="inlineStr">
        <is>
          <t>Lawson Hills</t>
        </is>
      </c>
      <c r="G109" s="23" t="inlineStr">
        <is>
          <t>free</t>
        </is>
      </c>
      <c r="H109" s="23" t="inlineStr">
        <is>
          <t>-</t>
        </is>
      </c>
      <c r="I109" s="23" t="inlineStr">
        <is>
          <t>running, craft beer, dining, cards</t>
        </is>
      </c>
      <c r="J109" s="23" t="inlineStr">
        <is>
          <t>pickleball, yoga</t>
        </is>
      </c>
      <c r="K109" s="23" t="inlineStr">
        <is>
          <t>board games, photography</t>
        </is>
      </c>
      <c r="L109" s="23" t="inlineStr">
        <is>
          <t>late nights</t>
        </is>
      </c>
      <c r="M109" s="23" t="inlineStr">
        <is>
          <t>T1, T2</t>
        </is>
      </c>
      <c r="N109" s="23" t="n">
        <v>0</v>
      </c>
      <c r="O109" s="23" t="n">
        <v>0</v>
      </c>
    </row>
    <row r="110">
      <c r="A110" s="23" t="inlineStr">
        <is>
          <t>e109</t>
        </is>
      </c>
      <c r="B110" s="23" t="inlineStr">
        <is>
          <t>Seo-yeon R.</t>
        </is>
      </c>
      <c r="C110" s="23" t="n">
        <v>59</v>
      </c>
      <c r="D110" s="23" t="inlineStr">
        <is>
          <t>commuter</t>
        </is>
      </c>
      <c r="E110" s="23" t="inlineStr">
        <is>
          <t>No</t>
        </is>
      </c>
      <c r="F110" s="23" t="inlineStr">
        <is>
          <t>Downtown</t>
        </is>
      </c>
      <c r="G110" s="23" t="inlineStr">
        <is>
          <t>any</t>
        </is>
      </c>
      <c r="H110" s="23" t="inlineStr">
        <is>
          <t>running, watch sports, tubing</t>
        </is>
      </c>
      <c r="I110" s="23" t="inlineStr">
        <is>
          <t>golf</t>
        </is>
      </c>
      <c r="J110" s="23" t="inlineStr">
        <is>
          <t>craft beer, baking</t>
        </is>
      </c>
      <c r="K110" s="23" t="inlineStr">
        <is>
          <t>bmx</t>
        </is>
      </c>
      <c r="L110" s="23" t="inlineStr">
        <is>
          <t>loud places</t>
        </is>
      </c>
      <c r="M110" s="23" t="inlineStr">
        <is>
          <t>T1, T2</t>
        </is>
      </c>
      <c r="N110" s="23" t="n">
        <v>0</v>
      </c>
      <c r="O110" s="23" t="n">
        <v>0</v>
      </c>
    </row>
    <row r="111">
      <c r="A111" s="23" t="inlineStr">
        <is>
          <t>e110</t>
        </is>
      </c>
      <c r="B111" s="23" t="inlineStr">
        <is>
          <t>Megan W.</t>
        </is>
      </c>
      <c r="C111" s="23" t="n">
        <v>32</v>
      </c>
      <c r="D111" s="23" t="inlineStr">
        <is>
          <t>parent at home</t>
        </is>
      </c>
      <c r="E111" s="23" t="inlineStr">
        <is>
          <t>Yes</t>
        </is>
      </c>
      <c r="F111" s="23" t="inlineStr">
        <is>
          <t>Black Diamond Ridge</t>
        </is>
      </c>
      <c r="G111" s="23" t="inlineStr">
        <is>
          <t>any</t>
        </is>
      </c>
      <c r="H111" s="23" t="inlineStr">
        <is>
          <t>baseball, yoga</t>
        </is>
      </c>
      <c r="I111" s="23" t="inlineStr">
        <is>
          <t>baseball</t>
        </is>
      </c>
      <c r="J111" s="23" t="inlineStr">
        <is>
          <t>baking</t>
        </is>
      </c>
      <c r="K111" s="23" t="inlineStr">
        <is>
          <t>boating</t>
        </is>
      </c>
      <c r="L111" s="23" t="inlineStr">
        <is>
          <t>spending money, loud places</t>
        </is>
      </c>
      <c r="M111" s="23" t="inlineStr">
        <is>
          <t>T1, T2</t>
        </is>
      </c>
      <c r="N111" s="23" t="n">
        <v>0</v>
      </c>
      <c r="O111" s="23" t="n">
        <v>0</v>
      </c>
    </row>
    <row r="112">
      <c r="A112" s="23" t="inlineStr">
        <is>
          <t>e111</t>
        </is>
      </c>
      <c r="B112" s="23" t="inlineStr">
        <is>
          <t>Claire B.</t>
        </is>
      </c>
      <c r="C112" s="23" t="n">
        <v>72</v>
      </c>
      <c r="D112" s="23" t="inlineStr">
        <is>
          <t>retiree</t>
        </is>
      </c>
      <c r="E112" s="23" t="inlineStr">
        <is>
          <t>No</t>
        </is>
      </c>
      <c r="F112" s="23" t="inlineStr">
        <is>
          <t>Black Diamond Ridge</t>
        </is>
      </c>
      <c r="G112" s="23" t="inlineStr">
        <is>
          <t>low</t>
        </is>
      </c>
      <c r="H112" s="23" t="inlineStr">
        <is>
          <t>cards, baseball</t>
        </is>
      </c>
      <c r="I112" s="23" t="inlineStr">
        <is>
          <t>fishing, history, birding</t>
        </is>
      </c>
      <c r="J112" s="23" t="inlineStr">
        <is>
          <t>gardening</t>
        </is>
      </c>
      <c r="K112" s="23" t="inlineStr">
        <is>
          <t>bmx</t>
        </is>
      </c>
      <c r="L112" s="23" t="inlineStr">
        <is>
          <t>-</t>
        </is>
      </c>
      <c r="M112" s="23" t="inlineStr">
        <is>
          <t>P1, T1, P2, T2</t>
        </is>
      </c>
      <c r="N112" s="23" t="n">
        <v>4</v>
      </c>
      <c r="O112" s="23" t="n">
        <v>3</v>
      </c>
    </row>
    <row r="113">
      <c r="A113" s="23" t="inlineStr">
        <is>
          <t>e112</t>
        </is>
      </c>
      <c r="B113" s="23" t="inlineStr">
        <is>
          <t>Kenji P.</t>
        </is>
      </c>
      <c r="C113" s="23" t="n">
        <v>52</v>
      </c>
      <c r="D113" s="23" t="inlineStr">
        <is>
          <t>commuter</t>
        </is>
      </c>
      <c r="E113" s="23" t="inlineStr">
        <is>
          <t>No</t>
        </is>
      </c>
      <c r="F113" s="23" t="inlineStr">
        <is>
          <t>Black Diamond Ridge</t>
        </is>
      </c>
      <c r="G113" s="23" t="inlineStr">
        <is>
          <t>any</t>
        </is>
      </c>
      <c r="H113" s="23" t="inlineStr">
        <is>
          <t>pickleball</t>
        </is>
      </c>
      <c r="I113" s="23" t="inlineStr">
        <is>
          <t>cards</t>
        </is>
      </c>
      <c r="J113" s="23" t="inlineStr">
        <is>
          <t>running</t>
        </is>
      </c>
      <c r="K113" s="23" t="inlineStr">
        <is>
          <t>trivia, photography</t>
        </is>
      </c>
      <c r="L113" s="23" t="inlineStr">
        <is>
          <t>competitive</t>
        </is>
      </c>
      <c r="M113" s="23" t="inlineStr">
        <is>
          <t>T1, T2</t>
        </is>
      </c>
      <c r="N113" s="23" t="n">
        <v>0</v>
      </c>
      <c r="O113" s="23" t="n">
        <v>0</v>
      </c>
    </row>
    <row r="114">
      <c r="A114" s="23" t="inlineStr">
        <is>
          <t>e113</t>
        </is>
      </c>
      <c r="B114" s="23" t="inlineStr">
        <is>
          <t>Seo-yeon L.</t>
        </is>
      </c>
      <c r="C114" s="23" t="n">
        <v>49</v>
      </c>
      <c r="D114" s="23" t="inlineStr">
        <is>
          <t>commuter</t>
        </is>
      </c>
      <c r="E114" s="23" t="inlineStr">
        <is>
          <t>No</t>
        </is>
      </c>
      <c r="F114" s="23" t="inlineStr">
        <is>
          <t>Ten Trails</t>
        </is>
      </c>
      <c r="G114" s="23" t="inlineStr">
        <is>
          <t>low</t>
        </is>
      </c>
      <c r="H114" s="23" t="inlineStr">
        <is>
          <t>pickleball, watch sports</t>
        </is>
      </c>
      <c r="I114" s="23" t="inlineStr">
        <is>
          <t>running</t>
        </is>
      </c>
      <c r="J114" s="23" t="inlineStr">
        <is>
          <t>-</t>
        </is>
      </c>
      <c r="K114" s="23" t="inlineStr">
        <is>
          <t>dining</t>
        </is>
      </c>
      <c r="L114" s="23" t="inlineStr">
        <is>
          <t>late nights</t>
        </is>
      </c>
      <c r="M114" s="23" t="inlineStr">
        <is>
          <t>T1, T2</t>
        </is>
      </c>
      <c r="N114" s="23" t="n">
        <v>3</v>
      </c>
      <c r="O114" s="23" t="n">
        <v>3</v>
      </c>
    </row>
    <row r="115">
      <c r="A115" s="23" t="inlineStr">
        <is>
          <t>e114</t>
        </is>
      </c>
      <c r="B115" s="23" t="inlineStr">
        <is>
          <t>Noah F.</t>
        </is>
      </c>
      <c r="C115" s="23" t="n">
        <v>51</v>
      </c>
      <c r="D115" s="23" t="inlineStr">
        <is>
          <t>shift worker</t>
        </is>
      </c>
      <c r="E115" s="23" t="inlineStr">
        <is>
          <t>No</t>
        </is>
      </c>
      <c r="F115" s="23" t="inlineStr">
        <is>
          <t>Lake Sawyer</t>
        </is>
      </c>
      <c r="G115" s="23" t="inlineStr">
        <is>
          <t>low</t>
        </is>
      </c>
      <c r="H115" s="23" t="inlineStr">
        <is>
          <t>watch sports</t>
        </is>
      </c>
      <c r="I115" s="23" t="inlineStr">
        <is>
          <t>history</t>
        </is>
      </c>
      <c r="J115" s="23" t="inlineStr">
        <is>
          <t>coffee, cards, craft beer, bmx</t>
        </is>
      </c>
      <c r="K115" s="23" t="inlineStr">
        <is>
          <t>board games</t>
        </is>
      </c>
      <c r="L115" s="23" t="inlineStr">
        <is>
          <t>loud places, early mornings</t>
        </is>
      </c>
      <c r="M115" s="23" t="inlineStr">
        <is>
          <t>T1, T2</t>
        </is>
      </c>
      <c r="N115" s="23" t="n">
        <v>0</v>
      </c>
      <c r="O115" s="23" t="n">
        <v>0</v>
      </c>
    </row>
    <row r="116">
      <c r="A116" s="23" t="inlineStr">
        <is>
          <t>e115</t>
        </is>
      </c>
      <c r="B116" s="23" t="inlineStr">
        <is>
          <t>Linda R.</t>
        </is>
      </c>
      <c r="C116" s="23" t="n">
        <v>33</v>
      </c>
      <c r="D116" s="23" t="inlineStr">
        <is>
          <t>commuter</t>
        </is>
      </c>
      <c r="E116" s="23" t="inlineStr">
        <is>
          <t>No</t>
        </is>
      </c>
      <c r="F116" s="23" t="inlineStr">
        <is>
          <t>Downtown</t>
        </is>
      </c>
      <c r="G116" s="23" t="inlineStr">
        <is>
          <t>low</t>
        </is>
      </c>
      <c r="H116" s="23" t="inlineStr">
        <is>
          <t>live music, book club, crafts</t>
        </is>
      </c>
      <c r="I116" s="23" t="inlineStr">
        <is>
          <t>dining, craft beer</t>
        </is>
      </c>
      <c r="J116" s="23" t="inlineStr">
        <is>
          <t>-</t>
        </is>
      </c>
      <c r="K116" s="23" t="inlineStr">
        <is>
          <t>cards, hiking, fishing</t>
        </is>
      </c>
      <c r="L116" s="23" t="inlineStr">
        <is>
          <t>long drives, competitive</t>
        </is>
      </c>
      <c r="M116" s="23" t="inlineStr">
        <is>
          <t>T1, T2</t>
        </is>
      </c>
      <c r="N116" s="23" t="n">
        <v>2</v>
      </c>
      <c r="O116" s="23" t="n">
        <v>2</v>
      </c>
    </row>
    <row r="117">
      <c r="A117" s="23" t="inlineStr">
        <is>
          <t>e116</t>
        </is>
      </c>
      <c r="B117" s="23" t="inlineStr">
        <is>
          <t>Claire L.</t>
        </is>
      </c>
      <c r="C117" s="23" t="n">
        <v>81</v>
      </c>
      <c r="D117" s="23" t="inlineStr">
        <is>
          <t>retiree</t>
        </is>
      </c>
      <c r="E117" s="23" t="inlineStr">
        <is>
          <t>No</t>
        </is>
      </c>
      <c r="F117" s="23" t="inlineStr">
        <is>
          <t>Black Diamond Ridge</t>
        </is>
      </c>
      <c r="G117" s="23" t="inlineStr">
        <is>
          <t>any</t>
        </is>
      </c>
      <c r="H117" s="23" t="inlineStr">
        <is>
          <t>history, rc planes</t>
        </is>
      </c>
      <c r="I117" s="23" t="inlineStr">
        <is>
          <t>crafts</t>
        </is>
      </c>
      <c r="J117" s="23" t="inlineStr">
        <is>
          <t>-</t>
        </is>
      </c>
      <c r="K117" s="23" t="inlineStr">
        <is>
          <t>golf, dog walks</t>
        </is>
      </c>
      <c r="L117" s="23" t="inlineStr">
        <is>
          <t>loud places</t>
        </is>
      </c>
      <c r="M117" s="23" t="inlineStr">
        <is>
          <t>P1, T1, P2, T2</t>
        </is>
      </c>
      <c r="N117" s="23" t="n">
        <v>2</v>
      </c>
      <c r="O117" s="23" t="n">
        <v>2</v>
      </c>
    </row>
    <row r="118">
      <c r="A118" s="23" t="inlineStr">
        <is>
          <t>e117</t>
        </is>
      </c>
      <c r="B118" s="23" t="inlineStr">
        <is>
          <t>Ava B.</t>
        </is>
      </c>
      <c r="C118" s="23" t="n">
        <v>29</v>
      </c>
      <c r="D118" s="23" t="inlineStr">
        <is>
          <t>commuter</t>
        </is>
      </c>
      <c r="E118" s="23" t="inlineStr">
        <is>
          <t>No</t>
        </is>
      </c>
      <c r="F118" s="23" t="inlineStr">
        <is>
          <t>Lawson Hills</t>
        </is>
      </c>
      <c r="G118" s="23" t="inlineStr">
        <is>
          <t>low</t>
        </is>
      </c>
      <c r="H118" s="23" t="inlineStr">
        <is>
          <t>craft beer</t>
        </is>
      </c>
      <c r="I118" s="23" t="inlineStr">
        <is>
          <t>live music, watch sports, tubing</t>
        </is>
      </c>
      <c r="J118" s="23" t="inlineStr">
        <is>
          <t>book club</t>
        </is>
      </c>
      <c r="K118" s="23" t="inlineStr">
        <is>
          <t>bmx, coffee, fishing</t>
        </is>
      </c>
      <c r="L118" s="23" t="inlineStr">
        <is>
          <t>late nights, crowds</t>
        </is>
      </c>
      <c r="M118" s="23" t="inlineStr">
        <is>
          <t>T1, T2</t>
        </is>
      </c>
      <c r="N118" s="23" t="n">
        <v>1</v>
      </c>
      <c r="O118" s="23" t="n">
        <v>1</v>
      </c>
    </row>
    <row r="119">
      <c r="A119" s="23" t="inlineStr">
        <is>
          <t>e118</t>
        </is>
      </c>
      <c r="B119" s="23" t="inlineStr">
        <is>
          <t>Min-jun R.</t>
        </is>
      </c>
      <c r="C119" s="23" t="n">
        <v>44</v>
      </c>
      <c r="D119" s="23" t="inlineStr">
        <is>
          <t>remote worker</t>
        </is>
      </c>
      <c r="E119" s="23" t="inlineStr">
        <is>
          <t>Yes</t>
        </is>
      </c>
      <c r="F119" s="23" t="inlineStr">
        <is>
          <t>Morgan Creek</t>
        </is>
      </c>
      <c r="G119" s="23" t="inlineStr">
        <is>
          <t>free</t>
        </is>
      </c>
      <c r="H119" s="23" t="inlineStr">
        <is>
          <t>craft beer, kayaking, hiking</t>
        </is>
      </c>
      <c r="I119" s="23" t="inlineStr">
        <is>
          <t>-</t>
        </is>
      </c>
      <c r="J119" s="23" t="inlineStr">
        <is>
          <t>farmers market</t>
        </is>
      </c>
      <c r="K119" s="23" t="inlineStr">
        <is>
          <t>swimming</t>
        </is>
      </c>
      <c r="L119" s="23" t="inlineStr">
        <is>
          <t>competitive</t>
        </is>
      </c>
      <c r="M119" s="23" t="inlineStr">
        <is>
          <t>T1, T2</t>
        </is>
      </c>
      <c r="N119" s="23" t="n">
        <v>0</v>
      </c>
      <c r="O119" s="23" t="n">
        <v>0</v>
      </c>
    </row>
    <row r="120">
      <c r="A120" s="23" t="inlineStr">
        <is>
          <t>e119</t>
        </is>
      </c>
      <c r="B120" s="23" t="inlineStr">
        <is>
          <t>Valeria G.</t>
        </is>
      </c>
      <c r="C120" s="23" t="n">
        <v>37</v>
      </c>
      <c r="D120" s="23" t="inlineStr">
        <is>
          <t>remote worker</t>
        </is>
      </c>
      <c r="E120" s="23" t="inlineStr">
        <is>
          <t>Yes</t>
        </is>
      </c>
      <c r="F120" s="23" t="inlineStr">
        <is>
          <t>Lake Sawyer</t>
        </is>
      </c>
      <c r="G120" s="23" t="inlineStr">
        <is>
          <t>any</t>
        </is>
      </c>
      <c r="H120" s="23" t="inlineStr">
        <is>
          <t>-</t>
        </is>
      </c>
      <c r="I120" s="23" t="inlineStr">
        <is>
          <t>baseball, farmers market, running</t>
        </is>
      </c>
      <c r="J120" s="23" t="inlineStr">
        <is>
          <t>book club</t>
        </is>
      </c>
      <c r="K120" s="23" t="inlineStr">
        <is>
          <t>gardening</t>
        </is>
      </c>
      <c r="L120" s="23" t="inlineStr">
        <is>
          <t>-</t>
        </is>
      </c>
      <c r="M120" s="23" t="inlineStr">
        <is>
          <t>T1, T2</t>
        </is>
      </c>
      <c r="N120" s="23" t="n">
        <v>0</v>
      </c>
      <c r="O120" s="23" t="n">
        <v>0</v>
      </c>
    </row>
    <row r="121">
      <c r="A121" s="23" t="inlineStr">
        <is>
          <t>e120</t>
        </is>
      </c>
      <c r="B121" s="23" t="inlineStr">
        <is>
          <t>Donna F.</t>
        </is>
      </c>
      <c r="C121" s="23" t="n">
        <v>36</v>
      </c>
      <c r="D121" s="23" t="inlineStr">
        <is>
          <t>parent at home</t>
        </is>
      </c>
      <c r="E121" s="23" t="inlineStr">
        <is>
          <t>Yes</t>
        </is>
      </c>
      <c r="F121" s="23" t="inlineStr">
        <is>
          <t>Lake Sawyer</t>
        </is>
      </c>
      <c r="G121" s="23" t="inlineStr">
        <is>
          <t>any</t>
        </is>
      </c>
      <c r="H121" s="23" t="inlineStr">
        <is>
          <t>baseball, swimming, basketball, watch sports</t>
        </is>
      </c>
      <c r="I121" s="23" t="inlineStr">
        <is>
          <t>swimming, farmers market</t>
        </is>
      </c>
      <c r="J121" s="23" t="inlineStr">
        <is>
          <t>-</t>
        </is>
      </c>
      <c r="K121" s="23" t="inlineStr">
        <is>
          <t>volunteering, board games</t>
        </is>
      </c>
      <c r="L121" s="23" t="inlineStr">
        <is>
          <t>-</t>
        </is>
      </c>
      <c r="M121" s="23" t="inlineStr">
        <is>
          <t>T1, T2</t>
        </is>
      </c>
      <c r="N121" s="23" t="n">
        <v>0</v>
      </c>
      <c r="O121" s="23" t="n">
        <v>0</v>
      </c>
    </row>
    <row r="122">
      <c r="A122" s="23" t="inlineStr">
        <is>
          <t>e121</t>
        </is>
      </c>
      <c r="B122" s="23" t="inlineStr">
        <is>
          <t>Logan W.</t>
        </is>
      </c>
      <c r="C122" s="23" t="n">
        <v>26</v>
      </c>
      <c r="D122" s="23" t="inlineStr">
        <is>
          <t>remote worker</t>
        </is>
      </c>
      <c r="E122" s="23" t="inlineStr">
        <is>
          <t>No</t>
        </is>
      </c>
      <c r="F122" s="23" t="inlineStr">
        <is>
          <t>Lawson Hills</t>
        </is>
      </c>
      <c r="G122" s="23" t="inlineStr">
        <is>
          <t>any</t>
        </is>
      </c>
      <c r="H122" s="23" t="inlineStr">
        <is>
          <t>running, fishing, volunteering</t>
        </is>
      </c>
      <c r="I122" s="23" t="inlineStr">
        <is>
          <t>kayaking</t>
        </is>
      </c>
      <c r="J122" s="23" t="inlineStr">
        <is>
          <t>hiking</t>
        </is>
      </c>
      <c r="K122" s="23" t="inlineStr">
        <is>
          <t>dog walks</t>
        </is>
      </c>
      <c r="L122" s="23" t="inlineStr">
        <is>
          <t>crowds</t>
        </is>
      </c>
      <c r="M122" s="23" t="inlineStr">
        <is>
          <t>T1, T2</t>
        </is>
      </c>
      <c r="N122" s="23" t="n">
        <v>0</v>
      </c>
      <c r="O122" s="23" t="n">
        <v>0</v>
      </c>
    </row>
    <row r="123">
      <c r="A123" s="23" t="inlineStr">
        <is>
          <t>e122</t>
        </is>
      </c>
      <c r="B123" s="23" t="inlineStr">
        <is>
          <t>Ji-woo N.</t>
        </is>
      </c>
      <c r="C123" s="23" t="n">
        <v>43</v>
      </c>
      <c r="D123" s="23" t="inlineStr">
        <is>
          <t>remote worker</t>
        </is>
      </c>
      <c r="E123" s="23" t="inlineStr">
        <is>
          <t>No</t>
        </is>
      </c>
      <c r="F123" s="23" t="inlineStr">
        <is>
          <t>Lake Sawyer</t>
        </is>
      </c>
      <c r="G123" s="23" t="inlineStr">
        <is>
          <t>free</t>
        </is>
      </c>
      <c r="H123" s="23" t="inlineStr">
        <is>
          <t>yoga, running</t>
        </is>
      </c>
      <c r="I123" s="23" t="inlineStr">
        <is>
          <t>kayaking, coffee, bmx</t>
        </is>
      </c>
      <c r="J123" s="23" t="inlineStr">
        <is>
          <t>-</t>
        </is>
      </c>
      <c r="K123" s="23" t="inlineStr">
        <is>
          <t>book club</t>
        </is>
      </c>
      <c r="L123" s="23" t="inlineStr">
        <is>
          <t>late nights, early mornings</t>
        </is>
      </c>
      <c r="M123" s="23" t="inlineStr">
        <is>
          <t>T1, T2</t>
        </is>
      </c>
      <c r="N123" s="23" t="n">
        <v>0</v>
      </c>
      <c r="O123" s="23" t="n">
        <v>0</v>
      </c>
    </row>
    <row r="124">
      <c r="A124" s="23" t="inlineStr">
        <is>
          <t>e123</t>
        </is>
      </c>
      <c r="B124" s="23" t="inlineStr">
        <is>
          <t>Rachel P.</t>
        </is>
      </c>
      <c r="C124" s="23" t="n">
        <v>29</v>
      </c>
      <c r="D124" s="23" t="inlineStr">
        <is>
          <t>commuter</t>
        </is>
      </c>
      <c r="E124" s="23" t="inlineStr">
        <is>
          <t>No</t>
        </is>
      </c>
      <c r="F124" s="23" t="inlineStr">
        <is>
          <t>Downtown</t>
        </is>
      </c>
      <c r="G124" s="23" t="inlineStr">
        <is>
          <t>any</t>
        </is>
      </c>
      <c r="H124" s="23" t="inlineStr">
        <is>
          <t>craft beer, crafts</t>
        </is>
      </c>
      <c r="I124" s="23" t="inlineStr">
        <is>
          <t>running, live music, birding</t>
        </is>
      </c>
      <c r="J124" s="23" t="inlineStr">
        <is>
          <t>dining</t>
        </is>
      </c>
      <c r="K124" s="23" t="inlineStr">
        <is>
          <t>board games, rc planes, hiking</t>
        </is>
      </c>
      <c r="L124" s="23" t="inlineStr">
        <is>
          <t>long drives</t>
        </is>
      </c>
      <c r="M124" s="23" t="inlineStr">
        <is>
          <t>P1, T1, P2, T2</t>
        </is>
      </c>
      <c r="N124" s="23" t="n">
        <v>7</v>
      </c>
      <c r="O124" s="23" t="n">
        <v>5</v>
      </c>
    </row>
    <row r="125">
      <c r="A125" s="23" t="inlineStr">
        <is>
          <t>e124</t>
        </is>
      </c>
      <c r="B125" s="23" t="inlineStr">
        <is>
          <t>Wei T.</t>
        </is>
      </c>
      <c r="C125" s="23" t="n">
        <v>43</v>
      </c>
      <c r="D125" s="23" t="inlineStr">
        <is>
          <t>parent at home</t>
        </is>
      </c>
      <c r="E125" s="23" t="inlineStr">
        <is>
          <t>Yes</t>
        </is>
      </c>
      <c r="F125" s="23" t="inlineStr">
        <is>
          <t>Morgan Creek</t>
        </is>
      </c>
      <c r="G125" s="23" t="inlineStr">
        <is>
          <t>low</t>
        </is>
      </c>
      <c r="H125" s="23" t="inlineStr">
        <is>
          <t>picnics, photography</t>
        </is>
      </c>
      <c r="I125" s="23" t="inlineStr">
        <is>
          <t>farmers market, hiking</t>
        </is>
      </c>
      <c r="J125" s="23" t="inlineStr">
        <is>
          <t>farmers market, dog walks</t>
        </is>
      </c>
      <c r="K125" s="23" t="inlineStr">
        <is>
          <t>board games, golf, rc planes</t>
        </is>
      </c>
      <c r="L125" s="23" t="inlineStr">
        <is>
          <t>crowds, competitive</t>
        </is>
      </c>
      <c r="M125" s="23" t="inlineStr">
        <is>
          <t>S, P1, T1, P2, T2</t>
        </is>
      </c>
      <c r="N125" s="23" t="n">
        <v>10</v>
      </c>
      <c r="O125" s="23" t="n">
        <v>9</v>
      </c>
    </row>
    <row r="126">
      <c r="A126" s="23" t="inlineStr">
        <is>
          <t>e125</t>
        </is>
      </c>
      <c r="B126" s="23" t="inlineStr">
        <is>
          <t>Owen P.</t>
        </is>
      </c>
      <c r="C126" s="23" t="n">
        <v>29</v>
      </c>
      <c r="D126" s="23" t="inlineStr">
        <is>
          <t>shift worker</t>
        </is>
      </c>
      <c r="E126" s="23" t="inlineStr">
        <is>
          <t>Yes</t>
        </is>
      </c>
      <c r="F126" s="23" t="inlineStr">
        <is>
          <t>Downtown</t>
        </is>
      </c>
      <c r="G126" s="23" t="inlineStr">
        <is>
          <t>any</t>
        </is>
      </c>
      <c r="H126" s="23" t="inlineStr">
        <is>
          <t>picnics, coffee</t>
        </is>
      </c>
      <c r="I126" s="23" t="inlineStr">
        <is>
          <t>baking</t>
        </is>
      </c>
      <c r="J126" s="23" t="inlineStr">
        <is>
          <t>-</t>
        </is>
      </c>
      <c r="K126" s="23" t="inlineStr">
        <is>
          <t>trivia</t>
        </is>
      </c>
      <c r="L126" s="23" t="inlineStr">
        <is>
          <t>-</t>
        </is>
      </c>
      <c r="M126" s="23" t="inlineStr">
        <is>
          <t>T1, T2</t>
        </is>
      </c>
      <c r="N126" s="23" t="n">
        <v>0</v>
      </c>
      <c r="O126" s="23" t="n">
        <v>0</v>
      </c>
    </row>
    <row r="127">
      <c r="A127" s="23" t="inlineStr">
        <is>
          <t>e126</t>
        </is>
      </c>
      <c r="B127" s="23" t="inlineStr">
        <is>
          <t>Thao L.</t>
        </is>
      </c>
      <c r="C127" s="23" t="n">
        <v>40</v>
      </c>
      <c r="D127" s="23" t="inlineStr">
        <is>
          <t>parent at home</t>
        </is>
      </c>
      <c r="E127" s="23" t="inlineStr">
        <is>
          <t>Yes</t>
        </is>
      </c>
      <c r="F127" s="23" t="inlineStr">
        <is>
          <t>Morgan Creek</t>
        </is>
      </c>
      <c r="G127" s="23" t="inlineStr">
        <is>
          <t>any</t>
        </is>
      </c>
      <c r="H127" s="23" t="inlineStr">
        <is>
          <t>-</t>
        </is>
      </c>
      <c r="I127" s="23" t="inlineStr">
        <is>
          <t>picnics, farmers market, baseball</t>
        </is>
      </c>
      <c r="J127" s="23" t="inlineStr">
        <is>
          <t>coffee, board games, book club</t>
        </is>
      </c>
      <c r="K127" s="23" t="inlineStr">
        <is>
          <t>basketball, kayaking, running</t>
        </is>
      </c>
      <c r="L127" s="23" t="inlineStr">
        <is>
          <t>late nights, crowds</t>
        </is>
      </c>
      <c r="M127" s="23" t="inlineStr">
        <is>
          <t>T1, T2</t>
        </is>
      </c>
      <c r="N127" s="23" t="n">
        <v>0</v>
      </c>
      <c r="O127" s="23" t="n">
        <v>0</v>
      </c>
    </row>
    <row r="128">
      <c r="A128" s="23" t="inlineStr">
        <is>
          <t>e127</t>
        </is>
      </c>
      <c r="B128" s="23" t="inlineStr">
        <is>
          <t>Chris W.</t>
        </is>
      </c>
      <c r="C128" s="23" t="n">
        <v>36</v>
      </c>
      <c r="D128" s="23" t="inlineStr">
        <is>
          <t>parent at home</t>
        </is>
      </c>
      <c r="E128" s="23" t="inlineStr">
        <is>
          <t>Yes</t>
        </is>
      </c>
      <c r="F128" s="23" t="inlineStr">
        <is>
          <t>Ten Trails</t>
        </is>
      </c>
      <c r="G128" s="23" t="inlineStr">
        <is>
          <t>any</t>
        </is>
      </c>
      <c r="H128" s="23" t="inlineStr">
        <is>
          <t>baking, book club, live music</t>
        </is>
      </c>
      <c r="I128" s="23" t="inlineStr">
        <is>
          <t>swimming</t>
        </is>
      </c>
      <c r="J128" s="23" t="inlineStr">
        <is>
          <t>coffee, picnics</t>
        </is>
      </c>
      <c r="K128" s="23" t="inlineStr">
        <is>
          <t>trivia, birding</t>
        </is>
      </c>
      <c r="L128" s="23" t="inlineStr">
        <is>
          <t>early mornings</t>
        </is>
      </c>
      <c r="M128" s="23" t="inlineStr">
        <is>
          <t>P1, T1, P2, T2</t>
        </is>
      </c>
      <c r="N128" s="23" t="n">
        <v>6</v>
      </c>
      <c r="O128" s="23" t="n">
        <v>4</v>
      </c>
    </row>
    <row r="129">
      <c r="A129" s="23" t="inlineStr">
        <is>
          <t>e128</t>
        </is>
      </c>
      <c r="B129" s="23" t="inlineStr">
        <is>
          <t>Dylan R.</t>
        </is>
      </c>
      <c r="C129" s="23" t="n">
        <v>57</v>
      </c>
      <c r="D129" s="23" t="inlineStr">
        <is>
          <t>commuter</t>
        </is>
      </c>
      <c r="E129" s="23" t="inlineStr">
        <is>
          <t>No</t>
        </is>
      </c>
      <c r="F129" s="23" t="inlineStr">
        <is>
          <t>Downtown</t>
        </is>
      </c>
      <c r="G129" s="23" t="inlineStr">
        <is>
          <t>any</t>
        </is>
      </c>
      <c r="H129" s="23" t="inlineStr">
        <is>
          <t>-</t>
        </is>
      </c>
      <c r="I129" s="23" t="inlineStr">
        <is>
          <t>hiking, golf, coffee</t>
        </is>
      </c>
      <c r="J129" s="23" t="inlineStr">
        <is>
          <t>-</t>
        </is>
      </c>
      <c r="K129" s="23" t="inlineStr">
        <is>
          <t>watch sports</t>
        </is>
      </c>
      <c r="L129" s="23" t="inlineStr">
        <is>
          <t>-</t>
        </is>
      </c>
      <c r="M129" s="23" t="inlineStr">
        <is>
          <t>T1, T2</t>
        </is>
      </c>
      <c r="N129" s="23" t="n">
        <v>0</v>
      </c>
      <c r="O129" s="23" t="n">
        <v>0</v>
      </c>
    </row>
    <row r="130">
      <c r="A130" s="23" t="inlineStr">
        <is>
          <t>e129</t>
        </is>
      </c>
      <c r="B130" s="23" t="inlineStr">
        <is>
          <t>Jessica H.</t>
        </is>
      </c>
      <c r="C130" s="23" t="n">
        <v>47</v>
      </c>
      <c r="D130" s="23" t="inlineStr">
        <is>
          <t>commuter</t>
        </is>
      </c>
      <c r="E130" s="23" t="inlineStr">
        <is>
          <t>Yes</t>
        </is>
      </c>
      <c r="F130" s="23" t="inlineStr">
        <is>
          <t>Morgan Creek</t>
        </is>
      </c>
      <c r="G130" s="23" t="inlineStr">
        <is>
          <t>any</t>
        </is>
      </c>
      <c r="H130" s="23" t="inlineStr">
        <is>
          <t>live music, watch sports, hiking</t>
        </is>
      </c>
      <c r="I130" s="23" t="inlineStr">
        <is>
          <t>dining, baking</t>
        </is>
      </c>
      <c r="J130" s="23" t="inlineStr">
        <is>
          <t>boating</t>
        </is>
      </c>
      <c r="K130" s="23" t="inlineStr">
        <is>
          <t>gardening, photography, farmers market</t>
        </is>
      </c>
      <c r="L130" s="23" t="inlineStr">
        <is>
          <t>late nights, spending money</t>
        </is>
      </c>
      <c r="M130" s="23" t="inlineStr">
        <is>
          <t>T1, T2</t>
        </is>
      </c>
      <c r="N130" s="23" t="n">
        <v>1</v>
      </c>
      <c r="O130" s="23" t="n">
        <v>1</v>
      </c>
    </row>
    <row r="131">
      <c r="A131" s="23" t="inlineStr">
        <is>
          <t>e130</t>
        </is>
      </c>
      <c r="B131" s="23" t="inlineStr">
        <is>
          <t>Amy N.</t>
        </is>
      </c>
      <c r="C131" s="23" t="n">
        <v>39</v>
      </c>
      <c r="D131" s="23" t="inlineStr">
        <is>
          <t>remote worker</t>
        </is>
      </c>
      <c r="E131" s="23" t="inlineStr">
        <is>
          <t>No</t>
        </is>
      </c>
      <c r="F131" s="23" t="inlineStr">
        <is>
          <t>Morgan Creek</t>
        </is>
      </c>
      <c r="G131" s="23" t="inlineStr">
        <is>
          <t>low</t>
        </is>
      </c>
      <c r="H131" s="23" t="inlineStr">
        <is>
          <t>kayaking</t>
        </is>
      </c>
      <c r="I131" s="23" t="inlineStr">
        <is>
          <t>photography, craft beer, live music</t>
        </is>
      </c>
      <c r="J131" s="23" t="inlineStr">
        <is>
          <t>-</t>
        </is>
      </c>
      <c r="K131" s="23" t="inlineStr">
        <is>
          <t>cards, yoga, swimming</t>
        </is>
      </c>
      <c r="L131" s="23" t="inlineStr">
        <is>
          <t>late nights, long drives</t>
        </is>
      </c>
      <c r="M131" s="23" t="inlineStr">
        <is>
          <t>T1, T2</t>
        </is>
      </c>
      <c r="N131" s="23" t="n">
        <v>1</v>
      </c>
      <c r="O131" s="23" t="n">
        <v>1</v>
      </c>
    </row>
    <row r="132">
      <c r="A132" s="23" t="inlineStr">
        <is>
          <t>e131</t>
        </is>
      </c>
      <c r="B132" s="23" t="inlineStr">
        <is>
          <t>Sarah L.</t>
        </is>
      </c>
      <c r="C132" s="23" t="n">
        <v>63</v>
      </c>
      <c r="D132" s="23" t="inlineStr">
        <is>
          <t>commuter</t>
        </is>
      </c>
      <c r="E132" s="23" t="inlineStr">
        <is>
          <t>No</t>
        </is>
      </c>
      <c r="F132" s="23" t="inlineStr">
        <is>
          <t>Black Diamond Ridge</t>
        </is>
      </c>
      <c r="G132" s="23" t="inlineStr">
        <is>
          <t>any</t>
        </is>
      </c>
      <c r="H132" s="23" t="inlineStr">
        <is>
          <t>running</t>
        </is>
      </c>
      <c r="I132" s="23" t="inlineStr">
        <is>
          <t>dining, swimming</t>
        </is>
      </c>
      <c r="J132" s="23" t="inlineStr">
        <is>
          <t>watch sports, hiking</t>
        </is>
      </c>
      <c r="K132" s="23" t="inlineStr">
        <is>
          <t>pickleball, basketball, dog walks</t>
        </is>
      </c>
      <c r="L132" s="23" t="inlineStr">
        <is>
          <t>late nights</t>
        </is>
      </c>
      <c r="M132" s="23" t="inlineStr">
        <is>
          <t>T1, T2</t>
        </is>
      </c>
      <c r="N132" s="23" t="n">
        <v>1</v>
      </c>
      <c r="O132" s="23" t="n">
        <v>1</v>
      </c>
    </row>
    <row r="133">
      <c r="A133" s="23" t="inlineStr">
        <is>
          <t>e132</t>
        </is>
      </c>
      <c r="B133" s="23" t="inlineStr">
        <is>
          <t>Hana P.</t>
        </is>
      </c>
      <c r="C133" s="23" t="n">
        <v>26</v>
      </c>
      <c r="D133" s="23" t="inlineStr">
        <is>
          <t>commuter</t>
        </is>
      </c>
      <c r="E133" s="23" t="inlineStr">
        <is>
          <t>No</t>
        </is>
      </c>
      <c r="F133" s="23" t="inlineStr">
        <is>
          <t>Black Diamond Ridge</t>
        </is>
      </c>
      <c r="G133" s="23" t="inlineStr">
        <is>
          <t>low</t>
        </is>
      </c>
      <c r="H133" s="23" t="inlineStr">
        <is>
          <t>golf, hiking, birding</t>
        </is>
      </c>
      <c r="I133" s="23" t="inlineStr">
        <is>
          <t>live music</t>
        </is>
      </c>
      <c r="J133" s="23" t="inlineStr">
        <is>
          <t>-</t>
        </is>
      </c>
      <c r="K133" s="23" t="inlineStr">
        <is>
          <t>yoga</t>
        </is>
      </c>
      <c r="L133" s="23" t="inlineStr">
        <is>
          <t>-</t>
        </is>
      </c>
      <c r="M133" s="23" t="inlineStr">
        <is>
          <t>T1, T2</t>
        </is>
      </c>
      <c r="N133" s="23" t="n">
        <v>0</v>
      </c>
      <c r="O133" s="23" t="n">
        <v>0</v>
      </c>
    </row>
    <row r="134">
      <c r="A134" s="23" t="inlineStr">
        <is>
          <t>e133</t>
        </is>
      </c>
      <c r="B134" s="23" t="inlineStr">
        <is>
          <t>Jack W.</t>
        </is>
      </c>
      <c r="C134" s="23" t="n">
        <v>20</v>
      </c>
      <c r="D134" s="23" t="inlineStr">
        <is>
          <t>student</t>
        </is>
      </c>
      <c r="E134" s="23" t="inlineStr">
        <is>
          <t>No</t>
        </is>
      </c>
      <c r="F134" s="23" t="inlineStr">
        <is>
          <t>Downtown</t>
        </is>
      </c>
      <c r="G134" s="23" t="inlineStr">
        <is>
          <t>any</t>
        </is>
      </c>
      <c r="H134" s="23" t="inlineStr">
        <is>
          <t>board games, cards</t>
        </is>
      </c>
      <c r="I134" s="23" t="inlineStr">
        <is>
          <t>watch sports</t>
        </is>
      </c>
      <c r="J134" s="23" t="inlineStr">
        <is>
          <t>swimming</t>
        </is>
      </c>
      <c r="K134" s="23" t="inlineStr">
        <is>
          <t>boating</t>
        </is>
      </c>
      <c r="L134" s="23" t="inlineStr">
        <is>
          <t>-</t>
        </is>
      </c>
      <c r="M134" s="23" t="inlineStr">
        <is>
          <t>P1, T1, P2, T2</t>
        </is>
      </c>
      <c r="N134" s="23" t="n">
        <v>6</v>
      </c>
      <c r="O134" s="23" t="n">
        <v>4</v>
      </c>
    </row>
    <row r="135">
      <c r="A135" s="23" t="inlineStr">
        <is>
          <t>e134</t>
        </is>
      </c>
      <c r="B135" s="23" t="inlineStr">
        <is>
          <t>Emma O.</t>
        </is>
      </c>
      <c r="C135" s="23" t="n">
        <v>36</v>
      </c>
      <c r="D135" s="23" t="inlineStr">
        <is>
          <t>commuter</t>
        </is>
      </c>
      <c r="E135" s="23" t="inlineStr">
        <is>
          <t>No</t>
        </is>
      </c>
      <c r="F135" s="23" t="inlineStr">
        <is>
          <t>Black Diamond Ridge</t>
        </is>
      </c>
      <c r="G135" s="23" t="inlineStr">
        <is>
          <t>free</t>
        </is>
      </c>
      <c r="H135" s="23" t="inlineStr">
        <is>
          <t>hiking, dining, baking</t>
        </is>
      </c>
      <c r="I135" s="23" t="inlineStr">
        <is>
          <t>live music</t>
        </is>
      </c>
      <c r="J135" s="23" t="inlineStr">
        <is>
          <t>-</t>
        </is>
      </c>
      <c r="K135" s="23" t="inlineStr">
        <is>
          <t>photography, dog walks, birding</t>
        </is>
      </c>
      <c r="L135" s="23" t="inlineStr">
        <is>
          <t>long drives</t>
        </is>
      </c>
      <c r="M135" s="23" t="inlineStr">
        <is>
          <t>T1, T2</t>
        </is>
      </c>
      <c r="N135" s="23" t="n">
        <v>0</v>
      </c>
      <c r="O135" s="23" t="n">
        <v>0</v>
      </c>
    </row>
    <row r="136">
      <c r="A136" s="23" t="inlineStr">
        <is>
          <t>e135</t>
        </is>
      </c>
      <c r="B136" s="23" t="inlineStr">
        <is>
          <t>Luis G.</t>
        </is>
      </c>
      <c r="C136" s="23" t="n">
        <v>42</v>
      </c>
      <c r="D136" s="23" t="inlineStr">
        <is>
          <t>remote worker</t>
        </is>
      </c>
      <c r="E136" s="23" t="inlineStr">
        <is>
          <t>Yes</t>
        </is>
      </c>
      <c r="F136" s="23" t="inlineStr">
        <is>
          <t>Lawson Hills</t>
        </is>
      </c>
      <c r="G136" s="23" t="inlineStr">
        <is>
          <t>free</t>
        </is>
      </c>
      <c r="H136" s="23" t="inlineStr">
        <is>
          <t>-</t>
        </is>
      </c>
      <c r="I136" s="23" t="inlineStr">
        <is>
          <t>gardening</t>
        </is>
      </c>
      <c r="J136" s="23" t="inlineStr">
        <is>
          <t>craft beer, coffee</t>
        </is>
      </c>
      <c r="K136" s="23" t="inlineStr">
        <is>
          <t>golf</t>
        </is>
      </c>
      <c r="L136" s="23" t="inlineStr">
        <is>
          <t>-</t>
        </is>
      </c>
      <c r="M136" s="23" t="inlineStr">
        <is>
          <t>T1, T2</t>
        </is>
      </c>
      <c r="N136" s="23" t="n">
        <v>0</v>
      </c>
      <c r="O136" s="23" t="n">
        <v>0</v>
      </c>
    </row>
    <row r="137">
      <c r="A137" s="23" t="inlineStr">
        <is>
          <t>e136</t>
        </is>
      </c>
      <c r="B137" s="23" t="inlineStr">
        <is>
          <t>Aaliyah H.</t>
        </is>
      </c>
      <c r="C137" s="23" t="n">
        <v>33</v>
      </c>
      <c r="D137" s="23" t="inlineStr">
        <is>
          <t>remote worker</t>
        </is>
      </c>
      <c r="E137" s="23" t="inlineStr">
        <is>
          <t>No</t>
        </is>
      </c>
      <c r="F137" s="23" t="inlineStr">
        <is>
          <t>Morgan Creek</t>
        </is>
      </c>
      <c r="G137" s="23" t="inlineStr">
        <is>
          <t>low</t>
        </is>
      </c>
      <c r="H137" s="23" t="inlineStr">
        <is>
          <t>yoga</t>
        </is>
      </c>
      <c r="I137" s="23" t="inlineStr">
        <is>
          <t>photography, book club, fishing, mountain biking</t>
        </is>
      </c>
      <c r="J137" s="23" t="inlineStr">
        <is>
          <t>-</t>
        </is>
      </c>
      <c r="K137" s="23" t="inlineStr">
        <is>
          <t>kayaking</t>
        </is>
      </c>
      <c r="L137" s="23" t="inlineStr">
        <is>
          <t>crowds, late nights</t>
        </is>
      </c>
      <c r="M137" s="23" t="inlineStr">
        <is>
          <t>T1, T2</t>
        </is>
      </c>
      <c r="N137" s="23" t="n">
        <v>2</v>
      </c>
      <c r="O137" s="23" t="n">
        <v>2</v>
      </c>
    </row>
    <row r="138">
      <c r="A138" s="23" t="inlineStr">
        <is>
          <t>e137</t>
        </is>
      </c>
      <c r="B138" s="23" t="inlineStr">
        <is>
          <t>Caleb C.</t>
        </is>
      </c>
      <c r="C138" s="23" t="n">
        <v>31</v>
      </c>
      <c r="D138" s="23" t="inlineStr">
        <is>
          <t>commuter</t>
        </is>
      </c>
      <c r="E138" s="23" t="inlineStr">
        <is>
          <t>No</t>
        </is>
      </c>
      <c r="F138" s="23" t="inlineStr">
        <is>
          <t>Black Diamond Ridge</t>
        </is>
      </c>
      <c r="G138" s="23" t="inlineStr">
        <is>
          <t>any</t>
        </is>
      </c>
      <c r="H138" s="23" t="inlineStr">
        <is>
          <t>-</t>
        </is>
      </c>
      <c r="I138" s="23" t="inlineStr">
        <is>
          <t>watch sports</t>
        </is>
      </c>
      <c r="J138" s="23" t="inlineStr">
        <is>
          <t>pickleball, live music, baking</t>
        </is>
      </c>
      <c r="K138" s="23" t="inlineStr">
        <is>
          <t>bmx, coffee, hiking</t>
        </is>
      </c>
      <c r="L138" s="23" t="inlineStr">
        <is>
          <t>-</t>
        </is>
      </c>
      <c r="M138" s="23" t="inlineStr">
        <is>
          <t>T1, T2</t>
        </is>
      </c>
      <c r="N138" s="23" t="n">
        <v>0</v>
      </c>
      <c r="O138" s="23" t="n">
        <v>0</v>
      </c>
    </row>
    <row r="139">
      <c r="A139" s="23" t="inlineStr">
        <is>
          <t>e138</t>
        </is>
      </c>
      <c r="B139" s="23" t="inlineStr">
        <is>
          <t>Hana T.</t>
        </is>
      </c>
      <c r="C139" s="23" t="n">
        <v>53</v>
      </c>
      <c r="D139" s="23" t="inlineStr">
        <is>
          <t>commuter</t>
        </is>
      </c>
      <c r="E139" s="23" t="inlineStr">
        <is>
          <t>Yes</t>
        </is>
      </c>
      <c r="F139" s="23" t="inlineStr">
        <is>
          <t>Black Diamond Ridge</t>
        </is>
      </c>
      <c r="G139" s="23" t="inlineStr">
        <is>
          <t>low</t>
        </is>
      </c>
      <c r="H139" s="23" t="inlineStr">
        <is>
          <t>swimming, live music, pickleball</t>
        </is>
      </c>
      <c r="I139" s="23" t="inlineStr">
        <is>
          <t>yoga</t>
        </is>
      </c>
      <c r="J139" s="23" t="inlineStr">
        <is>
          <t>-</t>
        </is>
      </c>
      <c r="K139" s="23" t="inlineStr">
        <is>
          <t>birding</t>
        </is>
      </c>
      <c r="L139" s="23" t="inlineStr">
        <is>
          <t>loud places, late nights</t>
        </is>
      </c>
      <c r="M139" s="23" t="inlineStr">
        <is>
          <t>T1, T2</t>
        </is>
      </c>
      <c r="N139" s="23" t="n">
        <v>3</v>
      </c>
      <c r="O139" s="23" t="n">
        <v>3</v>
      </c>
    </row>
    <row r="140">
      <c r="A140" s="23" t="inlineStr">
        <is>
          <t>e139</t>
        </is>
      </c>
      <c r="B140" s="23" t="inlineStr">
        <is>
          <t>Hannah A.</t>
        </is>
      </c>
      <c r="C140" s="23" t="n">
        <v>26</v>
      </c>
      <c r="D140" s="23" t="inlineStr">
        <is>
          <t>commuter</t>
        </is>
      </c>
      <c r="E140" s="23" t="inlineStr">
        <is>
          <t>No</t>
        </is>
      </c>
      <c r="F140" s="23" t="inlineStr">
        <is>
          <t>Morgan Creek</t>
        </is>
      </c>
      <c r="G140" s="23" t="inlineStr">
        <is>
          <t>any</t>
        </is>
      </c>
      <c r="H140" s="23" t="inlineStr">
        <is>
          <t>craft beer, cooking</t>
        </is>
      </c>
      <c r="I140" s="23" t="inlineStr">
        <is>
          <t>golf, live music, pickleball, history</t>
        </is>
      </c>
      <c r="J140" s="23" t="inlineStr">
        <is>
          <t>-</t>
        </is>
      </c>
      <c r="K140" s="23" t="inlineStr">
        <is>
          <t>farmers market, volunteering</t>
        </is>
      </c>
      <c r="L140" s="23" t="inlineStr">
        <is>
          <t>competitive</t>
        </is>
      </c>
      <c r="M140" s="23" t="inlineStr">
        <is>
          <t>T1, T2</t>
        </is>
      </c>
      <c r="N140" s="23" t="n">
        <v>3</v>
      </c>
      <c r="O140" s="23" t="n">
        <v>3</v>
      </c>
    </row>
    <row r="141">
      <c r="A141" s="23" t="inlineStr">
        <is>
          <t>e140</t>
        </is>
      </c>
      <c r="B141" s="23" t="inlineStr">
        <is>
          <t>Arjun P.</t>
        </is>
      </c>
      <c r="C141" s="23" t="n">
        <v>50</v>
      </c>
      <c r="D141" s="23" t="inlineStr">
        <is>
          <t>remote worker</t>
        </is>
      </c>
      <c r="E141" s="23" t="inlineStr">
        <is>
          <t>No</t>
        </is>
      </c>
      <c r="F141" s="23" t="inlineStr">
        <is>
          <t>Lawson Hills</t>
        </is>
      </c>
      <c r="G141" s="23" t="inlineStr">
        <is>
          <t>free</t>
        </is>
      </c>
      <c r="H141" s="23" t="inlineStr">
        <is>
          <t>bmx</t>
        </is>
      </c>
      <c r="I141" s="23" t="inlineStr">
        <is>
          <t>coffee, photography, gardening</t>
        </is>
      </c>
      <c r="J141" s="23" t="inlineStr">
        <is>
          <t>book club</t>
        </is>
      </c>
      <c r="K141" s="23" t="inlineStr">
        <is>
          <t>yoga, fishing</t>
        </is>
      </c>
      <c r="L141" s="23" t="inlineStr">
        <is>
          <t>early mornings, competitive</t>
        </is>
      </c>
      <c r="M141" s="23" t="inlineStr">
        <is>
          <t>T1, T2</t>
        </is>
      </c>
      <c r="N141" s="23" t="n">
        <v>0</v>
      </c>
      <c r="O141" s="23" t="n">
        <v>0</v>
      </c>
    </row>
    <row r="142">
      <c r="A142" s="23" t="inlineStr">
        <is>
          <t>e141</t>
        </is>
      </c>
      <c r="B142" s="23" t="inlineStr">
        <is>
          <t>Megan R.</t>
        </is>
      </c>
      <c r="C142" s="23" t="n">
        <v>69</v>
      </c>
      <c r="D142" s="23" t="inlineStr">
        <is>
          <t>retiree</t>
        </is>
      </c>
      <c r="E142" s="23" t="inlineStr">
        <is>
          <t>No</t>
        </is>
      </c>
      <c r="F142" s="23" t="inlineStr">
        <is>
          <t>Downtown</t>
        </is>
      </c>
      <c r="G142" s="23" t="inlineStr">
        <is>
          <t>any</t>
        </is>
      </c>
      <c r="H142" s="23" t="inlineStr">
        <is>
          <t>fishing, trivia</t>
        </is>
      </c>
      <c r="I142" s="23" t="inlineStr">
        <is>
          <t>-</t>
        </is>
      </c>
      <c r="J142" s="23" t="inlineStr">
        <is>
          <t>golf, book club</t>
        </is>
      </c>
      <c r="K142" s="23" t="inlineStr">
        <is>
          <t>gardening</t>
        </is>
      </c>
      <c r="L142" s="23" t="inlineStr">
        <is>
          <t>-</t>
        </is>
      </c>
      <c r="M142" s="23" t="inlineStr">
        <is>
          <t>T1, T2</t>
        </is>
      </c>
      <c r="N142" s="23" t="n">
        <v>0</v>
      </c>
      <c r="O142" s="23" t="n">
        <v>0</v>
      </c>
    </row>
    <row r="143">
      <c r="A143" s="23" t="inlineStr">
        <is>
          <t>e142</t>
        </is>
      </c>
      <c r="B143" s="23" t="inlineStr">
        <is>
          <t>Tom H.</t>
        </is>
      </c>
      <c r="C143" s="23" t="n">
        <v>25</v>
      </c>
      <c r="D143" s="23" t="inlineStr">
        <is>
          <t>remote worker</t>
        </is>
      </c>
      <c r="E143" s="23" t="inlineStr">
        <is>
          <t>No</t>
        </is>
      </c>
      <c r="F143" s="23" t="inlineStr">
        <is>
          <t>Ten Trails</t>
        </is>
      </c>
      <c r="G143" s="23" t="inlineStr">
        <is>
          <t>any</t>
        </is>
      </c>
      <c r="H143" s="23" t="inlineStr">
        <is>
          <t>-</t>
        </is>
      </c>
      <c r="I143" s="23" t="inlineStr">
        <is>
          <t>craft beer, book club, watch sports</t>
        </is>
      </c>
      <c r="J143" s="23" t="inlineStr">
        <is>
          <t>-</t>
        </is>
      </c>
      <c r="K143" s="23" t="inlineStr">
        <is>
          <t>trivia, crafts, history</t>
        </is>
      </c>
      <c r="L143" s="23" t="inlineStr">
        <is>
          <t>competitive, loud places</t>
        </is>
      </c>
      <c r="M143" s="23" t="inlineStr">
        <is>
          <t>T1, T2</t>
        </is>
      </c>
      <c r="N143" s="23" t="n">
        <v>0</v>
      </c>
      <c r="O143" s="23" t="n">
        <v>0</v>
      </c>
    </row>
    <row r="144">
      <c r="A144" s="23" t="inlineStr">
        <is>
          <t>e143</t>
        </is>
      </c>
      <c r="B144" s="23" t="inlineStr">
        <is>
          <t>Carlos T.</t>
        </is>
      </c>
      <c r="C144" s="23" t="n">
        <v>61</v>
      </c>
      <c r="D144" s="23" t="inlineStr">
        <is>
          <t>retiree</t>
        </is>
      </c>
      <c r="E144" s="23" t="inlineStr">
        <is>
          <t>No</t>
        </is>
      </c>
      <c r="F144" s="23" t="inlineStr">
        <is>
          <t>Morgan Creek</t>
        </is>
      </c>
      <c r="G144" s="23" t="inlineStr">
        <is>
          <t>any</t>
        </is>
      </c>
      <c r="H144" s="23" t="inlineStr">
        <is>
          <t>book club, birding, hiking, farmers market</t>
        </is>
      </c>
      <c r="I144" s="23" t="inlineStr">
        <is>
          <t>history</t>
        </is>
      </c>
      <c r="J144" s="23" t="inlineStr">
        <is>
          <t>-</t>
        </is>
      </c>
      <c r="K144" s="23" t="inlineStr">
        <is>
          <t>kayaking, running, bmx</t>
        </is>
      </c>
      <c r="L144" s="23" t="inlineStr">
        <is>
          <t>early mornings, loud places</t>
        </is>
      </c>
      <c r="M144" s="23" t="inlineStr">
        <is>
          <t>S, P1, T1, P2, T2</t>
        </is>
      </c>
      <c r="N144" s="23" t="n">
        <v>9</v>
      </c>
      <c r="O144" s="23" t="n">
        <v>8</v>
      </c>
    </row>
    <row r="145">
      <c r="A145" s="23" t="inlineStr">
        <is>
          <t>e144</t>
        </is>
      </c>
      <c r="B145" s="23" t="inlineStr">
        <is>
          <t>Arjun N.</t>
        </is>
      </c>
      <c r="C145" s="23" t="n">
        <v>28</v>
      </c>
      <c r="D145" s="23" t="inlineStr">
        <is>
          <t>parent at home</t>
        </is>
      </c>
      <c r="E145" s="23" t="inlineStr">
        <is>
          <t>Yes</t>
        </is>
      </c>
      <c r="F145" s="23" t="inlineStr">
        <is>
          <t>Morgan Creek</t>
        </is>
      </c>
      <c r="G145" s="23" t="inlineStr">
        <is>
          <t>low</t>
        </is>
      </c>
      <c r="H145" s="23" t="inlineStr">
        <is>
          <t>gardening, tubing</t>
        </is>
      </c>
      <c r="I145" s="23" t="inlineStr">
        <is>
          <t>baseball, swimming</t>
        </is>
      </c>
      <c r="J145" s="23" t="inlineStr">
        <is>
          <t>baking, picnics</t>
        </is>
      </c>
      <c r="K145" s="23" t="inlineStr">
        <is>
          <t>cards, craft beer, kayaking</t>
        </is>
      </c>
      <c r="L145" s="23" t="inlineStr">
        <is>
          <t>crowds, early mornings</t>
        </is>
      </c>
      <c r="M145" s="23" t="inlineStr">
        <is>
          <t>T1, T2</t>
        </is>
      </c>
      <c r="N145" s="23" t="n">
        <v>0</v>
      </c>
      <c r="O145" s="23" t="n">
        <v>0</v>
      </c>
    </row>
    <row r="146">
      <c r="A146" s="23" t="inlineStr">
        <is>
          <t>e145</t>
        </is>
      </c>
      <c r="B146" s="23" t="inlineStr">
        <is>
          <t>Josh F.</t>
        </is>
      </c>
      <c r="C146" s="23" t="n">
        <v>57</v>
      </c>
      <c r="D146" s="23" t="inlineStr">
        <is>
          <t>commuter</t>
        </is>
      </c>
      <c r="E146" s="23" t="inlineStr">
        <is>
          <t>No</t>
        </is>
      </c>
      <c r="F146" s="23" t="inlineStr">
        <is>
          <t>Ten Trails</t>
        </is>
      </c>
      <c r="G146" s="23" t="inlineStr">
        <is>
          <t>any</t>
        </is>
      </c>
      <c r="H146" s="23" t="inlineStr">
        <is>
          <t>golf, dining</t>
        </is>
      </c>
      <c r="I146" s="23" t="inlineStr">
        <is>
          <t>rc planes</t>
        </is>
      </c>
      <c r="J146" s="23" t="inlineStr">
        <is>
          <t>-</t>
        </is>
      </c>
      <c r="K146" s="23" t="inlineStr">
        <is>
          <t>trivia, photography</t>
        </is>
      </c>
      <c r="L146" s="23" t="inlineStr">
        <is>
          <t>loud places</t>
        </is>
      </c>
      <c r="M146" s="23" t="inlineStr">
        <is>
          <t>T1, T2</t>
        </is>
      </c>
      <c r="N146" s="23" t="n">
        <v>0</v>
      </c>
      <c r="O146" s="23" t="n">
        <v>0</v>
      </c>
    </row>
    <row r="147">
      <c r="A147" s="23" t="inlineStr">
        <is>
          <t>e146</t>
        </is>
      </c>
      <c r="B147" s="23" t="inlineStr">
        <is>
          <t>Katie P.</t>
        </is>
      </c>
      <c r="C147" s="23" t="n">
        <v>28</v>
      </c>
      <c r="D147" s="23" t="inlineStr">
        <is>
          <t>remote worker</t>
        </is>
      </c>
      <c r="E147" s="23" t="inlineStr">
        <is>
          <t>Yes</t>
        </is>
      </c>
      <c r="F147" s="23" t="inlineStr">
        <is>
          <t>Morgan Creek</t>
        </is>
      </c>
      <c r="G147" s="23" t="inlineStr">
        <is>
          <t>low</t>
        </is>
      </c>
      <c r="H147" s="23" t="inlineStr">
        <is>
          <t>running</t>
        </is>
      </c>
      <c r="I147" s="23" t="inlineStr">
        <is>
          <t>farmers market, coffee</t>
        </is>
      </c>
      <c r="J147" s="23" t="inlineStr">
        <is>
          <t>yoga</t>
        </is>
      </c>
      <c r="K147" s="23" t="inlineStr">
        <is>
          <t>bmx, hiking</t>
        </is>
      </c>
      <c r="L147" s="23" t="inlineStr">
        <is>
          <t>late nights, early mornings</t>
        </is>
      </c>
      <c r="M147" s="23" t="inlineStr">
        <is>
          <t>T1, T2</t>
        </is>
      </c>
      <c r="N147" s="23" t="n">
        <v>0</v>
      </c>
      <c r="O147" s="23" t="n">
        <v>0</v>
      </c>
    </row>
    <row r="148">
      <c r="A148" s="23" t="inlineStr">
        <is>
          <t>e147</t>
        </is>
      </c>
      <c r="B148" s="23" t="inlineStr">
        <is>
          <t>Kevin C.</t>
        </is>
      </c>
      <c r="C148" s="23" t="n">
        <v>43</v>
      </c>
      <c r="D148" s="23" t="inlineStr">
        <is>
          <t>shift worker</t>
        </is>
      </c>
      <c r="E148" s="23" t="inlineStr">
        <is>
          <t>Yes</t>
        </is>
      </c>
      <c r="F148" s="23" t="inlineStr">
        <is>
          <t>Lawson Hills</t>
        </is>
      </c>
      <c r="G148" s="23" t="inlineStr">
        <is>
          <t>any</t>
        </is>
      </c>
      <c r="H148" s="23" t="inlineStr">
        <is>
          <t>-</t>
        </is>
      </c>
      <c r="I148" s="23" t="inlineStr">
        <is>
          <t>baseball, running</t>
        </is>
      </c>
      <c r="J148" s="23" t="inlineStr">
        <is>
          <t>picnics, cards, book club</t>
        </is>
      </c>
      <c r="K148" s="23" t="inlineStr">
        <is>
          <t>board games, kayaking, hiking</t>
        </is>
      </c>
      <c r="L148" s="23" t="inlineStr">
        <is>
          <t>competitive</t>
        </is>
      </c>
      <c r="M148" s="23" t="inlineStr">
        <is>
          <t>T1, T2</t>
        </is>
      </c>
      <c r="N148" s="23" t="n">
        <v>0</v>
      </c>
      <c r="O148" s="23" t="n">
        <v>0</v>
      </c>
    </row>
    <row r="149">
      <c r="A149" s="23" t="inlineStr">
        <is>
          <t>e148</t>
        </is>
      </c>
      <c r="B149" s="23" t="inlineStr">
        <is>
          <t>Grace C.</t>
        </is>
      </c>
      <c r="C149" s="23" t="n">
        <v>42</v>
      </c>
      <c r="D149" s="23" t="inlineStr">
        <is>
          <t>shift worker</t>
        </is>
      </c>
      <c r="E149" s="23" t="inlineStr">
        <is>
          <t>No</t>
        </is>
      </c>
      <c r="F149" s="23" t="inlineStr">
        <is>
          <t>Downtown</t>
        </is>
      </c>
      <c r="G149" s="23" t="inlineStr">
        <is>
          <t>low</t>
        </is>
      </c>
      <c r="H149" s="23" t="inlineStr">
        <is>
          <t>hiking, fishing, baseball</t>
        </is>
      </c>
      <c r="I149" s="23" t="inlineStr">
        <is>
          <t>watch sports, cards</t>
        </is>
      </c>
      <c r="J149" s="23" t="inlineStr">
        <is>
          <t>-</t>
        </is>
      </c>
      <c r="K149" s="23" t="inlineStr">
        <is>
          <t>book club, swimming, cooking</t>
        </is>
      </c>
      <c r="L149" s="23" t="inlineStr">
        <is>
          <t>late nights, early mornings</t>
        </is>
      </c>
      <c r="M149" s="23" t="inlineStr">
        <is>
          <t>P1, T1, P2, T2</t>
        </is>
      </c>
      <c r="N149" s="23" t="n">
        <v>5</v>
      </c>
      <c r="O149" s="23" t="n">
        <v>3</v>
      </c>
    </row>
    <row r="150">
      <c r="A150" s="23" t="inlineStr">
        <is>
          <t>e149</t>
        </is>
      </c>
      <c r="B150" s="23" t="inlineStr">
        <is>
          <t>Claire C.</t>
        </is>
      </c>
      <c r="C150" s="23" t="n">
        <v>32</v>
      </c>
      <c r="D150" s="23" t="inlineStr">
        <is>
          <t>commuter</t>
        </is>
      </c>
      <c r="E150" s="23" t="inlineStr">
        <is>
          <t>Yes</t>
        </is>
      </c>
      <c r="F150" s="23" t="inlineStr">
        <is>
          <t>Morgan Creek</t>
        </is>
      </c>
      <c r="G150" s="23" t="inlineStr">
        <is>
          <t>any</t>
        </is>
      </c>
      <c r="H150" s="23" t="inlineStr">
        <is>
          <t>dining</t>
        </is>
      </c>
      <c r="I150" s="23" t="inlineStr">
        <is>
          <t>watch sports</t>
        </is>
      </c>
      <c r="J150" s="23" t="inlineStr">
        <is>
          <t>yoga</t>
        </is>
      </c>
      <c r="K150" s="23" t="inlineStr">
        <is>
          <t>mountain biking, picnics, golf</t>
        </is>
      </c>
      <c r="L150" s="23" t="inlineStr">
        <is>
          <t>spending money, loud places</t>
        </is>
      </c>
      <c r="M150" s="23" t="inlineStr">
        <is>
          <t>T1, T2</t>
        </is>
      </c>
      <c r="N150" s="23" t="n">
        <v>0</v>
      </c>
      <c r="O150" s="23" t="n">
        <v>0</v>
      </c>
    </row>
    <row r="151">
      <c r="A151" s="23" t="inlineStr">
        <is>
          <t>e150</t>
        </is>
      </c>
      <c r="B151" s="23" t="inlineStr">
        <is>
          <t>Jim B.</t>
        </is>
      </c>
      <c r="C151" s="23" t="n">
        <v>51</v>
      </c>
      <c r="D151" s="23" t="inlineStr">
        <is>
          <t>commuter</t>
        </is>
      </c>
      <c r="E151" s="23" t="inlineStr">
        <is>
          <t>Yes</t>
        </is>
      </c>
      <c r="F151" s="23" t="inlineStr">
        <is>
          <t>Lawson Hills</t>
        </is>
      </c>
      <c r="G151" s="23" t="inlineStr">
        <is>
          <t>any</t>
        </is>
      </c>
      <c r="H151" s="23" t="inlineStr">
        <is>
          <t>picnics, dining, kayaking</t>
        </is>
      </c>
      <c r="I151" s="23" t="inlineStr">
        <is>
          <t>-</t>
        </is>
      </c>
      <c r="J151" s="23" t="inlineStr">
        <is>
          <t>craft beer, golf, baseball</t>
        </is>
      </c>
      <c r="K151" s="23" t="inlineStr">
        <is>
          <t>board games, boating, dog walks</t>
        </is>
      </c>
      <c r="L151" s="23" t="inlineStr">
        <is>
          <t>spending money, crowds</t>
        </is>
      </c>
      <c r="M151" s="23" t="inlineStr">
        <is>
          <t>T1, T2</t>
        </is>
      </c>
      <c r="N151" s="23" t="n">
        <v>0</v>
      </c>
      <c r="O151" s="23" t="n">
        <v>0</v>
      </c>
    </row>
    <row r="152">
      <c r="A152" s="23" t="inlineStr">
        <is>
          <t>e151</t>
        </is>
      </c>
      <c r="B152" s="23" t="inlineStr">
        <is>
          <t>Sarah F.</t>
        </is>
      </c>
      <c r="C152" s="23" t="n">
        <v>79</v>
      </c>
      <c r="D152" s="23" t="inlineStr">
        <is>
          <t>retiree</t>
        </is>
      </c>
      <c r="E152" s="23" t="inlineStr">
        <is>
          <t>No</t>
        </is>
      </c>
      <c r="F152" s="23" t="inlineStr">
        <is>
          <t>Black Diamond Ridge</t>
        </is>
      </c>
      <c r="G152" s="23" t="inlineStr">
        <is>
          <t>any</t>
        </is>
      </c>
      <c r="H152" s="23" t="inlineStr">
        <is>
          <t>-</t>
        </is>
      </c>
      <c r="I152" s="23" t="inlineStr">
        <is>
          <t>history, cooking</t>
        </is>
      </c>
      <c r="J152" s="23" t="inlineStr">
        <is>
          <t>gardening</t>
        </is>
      </c>
      <c r="K152" s="23" t="inlineStr">
        <is>
          <t>crafts</t>
        </is>
      </c>
      <c r="L152" s="23" t="inlineStr">
        <is>
          <t>late nights, loud places</t>
        </is>
      </c>
      <c r="M152" s="23" t="inlineStr">
        <is>
          <t>T1, T2</t>
        </is>
      </c>
      <c r="N152" s="23" t="n">
        <v>0</v>
      </c>
      <c r="O152" s="23" t="n">
        <v>0</v>
      </c>
    </row>
    <row r="153">
      <c r="A153" s="23" t="inlineStr">
        <is>
          <t>e152</t>
        </is>
      </c>
      <c r="B153" s="23" t="inlineStr">
        <is>
          <t>Katie W.</t>
        </is>
      </c>
      <c r="C153" s="23" t="n">
        <v>25</v>
      </c>
      <c r="D153" s="23" t="inlineStr">
        <is>
          <t>commuter</t>
        </is>
      </c>
      <c r="E153" s="23" t="inlineStr">
        <is>
          <t>No</t>
        </is>
      </c>
      <c r="F153" s="23" t="inlineStr">
        <is>
          <t>Morgan Creek</t>
        </is>
      </c>
      <c r="G153" s="23" t="inlineStr">
        <is>
          <t>any</t>
        </is>
      </c>
      <c r="H153" s="23" t="inlineStr">
        <is>
          <t>-</t>
        </is>
      </c>
      <c r="I153" s="23" t="inlineStr">
        <is>
          <t>watch sports, golf, kayaking</t>
        </is>
      </c>
      <c r="J153" s="23" t="inlineStr">
        <is>
          <t>craft beer, dining</t>
        </is>
      </c>
      <c r="K153" s="23" t="inlineStr">
        <is>
          <t>bmx, trivia</t>
        </is>
      </c>
      <c r="L153" s="23" t="inlineStr">
        <is>
          <t>-</t>
        </is>
      </c>
      <c r="M153" s="23" t="inlineStr">
        <is>
          <t>T1, T2</t>
        </is>
      </c>
      <c r="N153" s="23" t="n">
        <v>0</v>
      </c>
      <c r="O153" s="23" t="n">
        <v>0</v>
      </c>
    </row>
    <row r="154">
      <c r="A154" s="23" t="inlineStr">
        <is>
          <t>e153</t>
        </is>
      </c>
      <c r="B154" s="23" t="inlineStr">
        <is>
          <t>Molly H.</t>
        </is>
      </c>
      <c r="C154" s="23" t="n">
        <v>33</v>
      </c>
      <c r="D154" s="23" t="inlineStr">
        <is>
          <t>remote worker</t>
        </is>
      </c>
      <c r="E154" s="23" t="inlineStr">
        <is>
          <t>No</t>
        </is>
      </c>
      <c r="F154" s="23" t="inlineStr">
        <is>
          <t>Black Diamond Ridge</t>
        </is>
      </c>
      <c r="G154" s="23" t="inlineStr">
        <is>
          <t>any</t>
        </is>
      </c>
      <c r="H154" s="23" t="inlineStr">
        <is>
          <t>watch sports, birding</t>
        </is>
      </c>
      <c r="I154" s="23" t="inlineStr">
        <is>
          <t>yoga, photography, hiking</t>
        </is>
      </c>
      <c r="J154" s="23" t="inlineStr">
        <is>
          <t>craft beer</t>
        </is>
      </c>
      <c r="K154" s="23" t="inlineStr">
        <is>
          <t>volunteering, dog walks, boating</t>
        </is>
      </c>
      <c r="L154" s="23" t="inlineStr">
        <is>
          <t>early mornings</t>
        </is>
      </c>
      <c r="M154" s="23" t="inlineStr">
        <is>
          <t>T1, T2</t>
        </is>
      </c>
      <c r="N154" s="23" t="n">
        <v>0</v>
      </c>
      <c r="O154" s="23" t="n">
        <v>0</v>
      </c>
    </row>
    <row r="155">
      <c r="A155" s="23" t="inlineStr">
        <is>
          <t>e154</t>
        </is>
      </c>
      <c r="B155" s="23" t="inlineStr">
        <is>
          <t>Keisha A.</t>
        </is>
      </c>
      <c r="C155" s="23" t="n">
        <v>36</v>
      </c>
      <c r="D155" s="23" t="inlineStr">
        <is>
          <t>remote worker</t>
        </is>
      </c>
      <c r="E155" s="23" t="inlineStr">
        <is>
          <t>No</t>
        </is>
      </c>
      <c r="F155" s="23" t="inlineStr">
        <is>
          <t>Lake Sawyer</t>
        </is>
      </c>
      <c r="G155" s="23" t="inlineStr">
        <is>
          <t>any</t>
        </is>
      </c>
      <c r="H155" s="23" t="inlineStr">
        <is>
          <t>hiking</t>
        </is>
      </c>
      <c r="I155" s="23" t="inlineStr">
        <is>
          <t>kayaking, yoga, tubing</t>
        </is>
      </c>
      <c r="J155" s="23" t="inlineStr">
        <is>
          <t>board games</t>
        </is>
      </c>
      <c r="K155" s="23" t="inlineStr">
        <is>
          <t>bmx, running, mountain biking</t>
        </is>
      </c>
      <c r="L155" s="23" t="inlineStr">
        <is>
          <t>-</t>
        </is>
      </c>
      <c r="M155" s="23" t="inlineStr">
        <is>
          <t>T1, T2</t>
        </is>
      </c>
      <c r="N155" s="23" t="n">
        <v>0</v>
      </c>
      <c r="O155" s="23" t="n">
        <v>0</v>
      </c>
    </row>
    <row r="156">
      <c r="A156" s="23" t="inlineStr">
        <is>
          <t>e155</t>
        </is>
      </c>
      <c r="B156" s="23" t="inlineStr">
        <is>
          <t>Carlos F.</t>
        </is>
      </c>
      <c r="C156" s="23" t="n">
        <v>58</v>
      </c>
      <c r="D156" s="23" t="inlineStr">
        <is>
          <t>commuter</t>
        </is>
      </c>
      <c r="E156" s="23" t="inlineStr">
        <is>
          <t>No</t>
        </is>
      </c>
      <c r="F156" s="23" t="inlineStr">
        <is>
          <t>Black Diamond Ridge</t>
        </is>
      </c>
      <c r="G156" s="23" t="inlineStr">
        <is>
          <t>any</t>
        </is>
      </c>
      <c r="H156" s="23" t="inlineStr">
        <is>
          <t>-</t>
        </is>
      </c>
      <c r="I156" s="23" t="inlineStr">
        <is>
          <t>pickleball, watch sports</t>
        </is>
      </c>
      <c r="J156" s="23" t="inlineStr">
        <is>
          <t>gardening</t>
        </is>
      </c>
      <c r="K156" s="23" t="inlineStr">
        <is>
          <t>farmers market, history</t>
        </is>
      </c>
      <c r="L156" s="23" t="inlineStr">
        <is>
          <t>-</t>
        </is>
      </c>
      <c r="M156" s="23" t="inlineStr">
        <is>
          <t>T1, T2</t>
        </is>
      </c>
      <c r="N156" s="23" t="n">
        <v>0</v>
      </c>
      <c r="O156" s="23" t="n">
        <v>0</v>
      </c>
    </row>
    <row r="157">
      <c r="A157" s="23" t="inlineStr">
        <is>
          <t>e156</t>
        </is>
      </c>
      <c r="B157" s="23" t="inlineStr">
        <is>
          <t>Rohan N.</t>
        </is>
      </c>
      <c r="C157" s="23" t="n">
        <v>34</v>
      </c>
      <c r="D157" s="23" t="inlineStr">
        <is>
          <t>commuter</t>
        </is>
      </c>
      <c r="E157" s="23" t="inlineStr">
        <is>
          <t>Yes</t>
        </is>
      </c>
      <c r="F157" s="23" t="inlineStr">
        <is>
          <t>Lake Sawyer</t>
        </is>
      </c>
      <c r="G157" s="23" t="inlineStr">
        <is>
          <t>any</t>
        </is>
      </c>
      <c r="H157" s="23" t="inlineStr">
        <is>
          <t>rc planes</t>
        </is>
      </c>
      <c r="I157" s="23" t="inlineStr">
        <is>
          <t>hiking, swimming, running</t>
        </is>
      </c>
      <c r="J157" s="23" t="inlineStr">
        <is>
          <t>mountain biking</t>
        </is>
      </c>
      <c r="K157" s="23" t="inlineStr">
        <is>
          <t>crafts, kayaking</t>
        </is>
      </c>
      <c r="L157" s="23" t="inlineStr">
        <is>
          <t>-</t>
        </is>
      </c>
      <c r="M157" s="23" t="inlineStr">
        <is>
          <t>T1, T2</t>
        </is>
      </c>
      <c r="N157" s="23" t="n">
        <v>0</v>
      </c>
      <c r="O157" s="23" t="n">
        <v>0</v>
      </c>
    </row>
    <row r="158">
      <c r="A158" s="23" t="inlineStr">
        <is>
          <t>e157</t>
        </is>
      </c>
      <c r="B158" s="23" t="inlineStr">
        <is>
          <t>Kevin B.</t>
        </is>
      </c>
      <c r="C158" s="23" t="n">
        <v>61</v>
      </c>
      <c r="D158" s="23" t="inlineStr">
        <is>
          <t>commuter</t>
        </is>
      </c>
      <c r="E158" s="23" t="inlineStr">
        <is>
          <t>No</t>
        </is>
      </c>
      <c r="F158" s="23" t="inlineStr">
        <is>
          <t>Black Diamond Ridge</t>
        </is>
      </c>
      <c r="G158" s="23" t="inlineStr">
        <is>
          <t>low</t>
        </is>
      </c>
      <c r="H158" s="23" t="inlineStr">
        <is>
          <t>running, golf, craft beer</t>
        </is>
      </c>
      <c r="I158" s="23" t="inlineStr">
        <is>
          <t>watch sports, bmx</t>
        </is>
      </c>
      <c r="J158" s="23" t="inlineStr">
        <is>
          <t>tubing</t>
        </is>
      </c>
      <c r="K158" s="23" t="inlineStr">
        <is>
          <t>yoga</t>
        </is>
      </c>
      <c r="L158" s="23" t="inlineStr">
        <is>
          <t>crowds</t>
        </is>
      </c>
      <c r="M158" s="23" t="inlineStr">
        <is>
          <t>S, T1, T2</t>
        </is>
      </c>
      <c r="N158" s="23" t="n">
        <v>4</v>
      </c>
      <c r="O158" s="23" t="n">
        <v>3</v>
      </c>
    </row>
    <row r="159">
      <c r="A159" s="23" t="inlineStr">
        <is>
          <t>e158</t>
        </is>
      </c>
      <c r="B159" s="23" t="inlineStr">
        <is>
          <t>Olivia A.</t>
        </is>
      </c>
      <c r="C159" s="23" t="n">
        <v>52</v>
      </c>
      <c r="D159" s="23" t="inlineStr">
        <is>
          <t>commuter</t>
        </is>
      </c>
      <c r="E159" s="23" t="inlineStr">
        <is>
          <t>No</t>
        </is>
      </c>
      <c r="F159" s="23" t="inlineStr">
        <is>
          <t>Morgan Creek</t>
        </is>
      </c>
      <c r="G159" s="23" t="inlineStr">
        <is>
          <t>any</t>
        </is>
      </c>
      <c r="H159" s="23" t="inlineStr">
        <is>
          <t>craft beer, running, dining</t>
        </is>
      </c>
      <c r="I159" s="23" t="inlineStr">
        <is>
          <t>volunteering</t>
        </is>
      </c>
      <c r="J159" s="23" t="inlineStr">
        <is>
          <t>live music</t>
        </is>
      </c>
      <c r="K159" s="23" t="inlineStr">
        <is>
          <t>tubing</t>
        </is>
      </c>
      <c r="L159" s="23" t="inlineStr">
        <is>
          <t>competitive, early mornings</t>
        </is>
      </c>
      <c r="M159" s="23" t="inlineStr">
        <is>
          <t>S, T1, T2</t>
        </is>
      </c>
      <c r="N159" s="23" t="n">
        <v>3</v>
      </c>
      <c r="O159" s="23" t="n">
        <v>2</v>
      </c>
    </row>
    <row r="160">
      <c r="A160" s="23" t="inlineStr">
        <is>
          <t>e159</t>
        </is>
      </c>
      <c r="B160" s="23" t="inlineStr">
        <is>
          <t>Tyler O.</t>
        </is>
      </c>
      <c r="C160" s="23" t="n">
        <v>32</v>
      </c>
      <c r="D160" s="23" t="inlineStr">
        <is>
          <t>commuter</t>
        </is>
      </c>
      <c r="E160" s="23" t="inlineStr">
        <is>
          <t>No</t>
        </is>
      </c>
      <c r="F160" s="23" t="inlineStr">
        <is>
          <t>Black Diamond Ridge</t>
        </is>
      </c>
      <c r="G160" s="23" t="inlineStr">
        <is>
          <t>any</t>
        </is>
      </c>
      <c r="H160" s="23" t="inlineStr">
        <is>
          <t>volunteering</t>
        </is>
      </c>
      <c r="I160" s="23" t="inlineStr">
        <is>
          <t>dining</t>
        </is>
      </c>
      <c r="J160" s="23" t="inlineStr">
        <is>
          <t>hiking</t>
        </is>
      </c>
      <c r="K160" s="23" t="inlineStr">
        <is>
          <t>cards</t>
        </is>
      </c>
      <c r="L160" s="23" t="inlineStr">
        <is>
          <t>-</t>
        </is>
      </c>
      <c r="M160" s="23" t="inlineStr">
        <is>
          <t>T1, T2</t>
        </is>
      </c>
      <c r="N160" s="23" t="n">
        <v>1</v>
      </c>
      <c r="O160" s="23" t="n">
        <v>1</v>
      </c>
    </row>
    <row r="161">
      <c r="A161" s="23" t="inlineStr">
        <is>
          <t>e160</t>
        </is>
      </c>
      <c r="B161" s="23" t="inlineStr">
        <is>
          <t>Imani K.</t>
        </is>
      </c>
      <c r="C161" s="23" t="n">
        <v>18</v>
      </c>
      <c r="D161" s="23" t="inlineStr">
        <is>
          <t>student</t>
        </is>
      </c>
      <c r="E161" s="23" t="inlineStr">
        <is>
          <t>No</t>
        </is>
      </c>
      <c r="F161" s="23" t="inlineStr">
        <is>
          <t>Black Diamond Ridge</t>
        </is>
      </c>
      <c r="G161" s="23" t="inlineStr">
        <is>
          <t>any</t>
        </is>
      </c>
      <c r="H161" s="23" t="inlineStr">
        <is>
          <t>basketball, mountain biking, yoga</t>
        </is>
      </c>
      <c r="I161" s="23" t="inlineStr">
        <is>
          <t>-</t>
        </is>
      </c>
      <c r="J161" s="23" t="inlineStr">
        <is>
          <t>-</t>
        </is>
      </c>
      <c r="K161" s="23" t="inlineStr">
        <is>
          <t>cards, book club</t>
        </is>
      </c>
      <c r="L161" s="23" t="inlineStr">
        <is>
          <t>-</t>
        </is>
      </c>
      <c r="M161" s="23" t="inlineStr">
        <is>
          <t>T1, T2</t>
        </is>
      </c>
      <c r="N161" s="23" t="n">
        <v>2</v>
      </c>
      <c r="O161" s="23" t="n">
        <v>2</v>
      </c>
    </row>
    <row r="162">
      <c r="A162" s="23" t="inlineStr">
        <is>
          <t>e161</t>
        </is>
      </c>
      <c r="B162" s="23" t="inlineStr">
        <is>
          <t>Nora O.</t>
        </is>
      </c>
      <c r="C162" s="23" t="n">
        <v>33</v>
      </c>
      <c r="D162" s="23" t="inlineStr">
        <is>
          <t>shift worker</t>
        </is>
      </c>
      <c r="E162" s="23" t="inlineStr">
        <is>
          <t>Yes</t>
        </is>
      </c>
      <c r="F162" s="23" t="inlineStr">
        <is>
          <t>Black Diamond Ridge</t>
        </is>
      </c>
      <c r="G162" s="23" t="inlineStr">
        <is>
          <t>any</t>
        </is>
      </c>
      <c r="H162" s="23" t="inlineStr">
        <is>
          <t>-</t>
        </is>
      </c>
      <c r="I162" s="23" t="inlineStr">
        <is>
          <t>swimming, cards</t>
        </is>
      </c>
      <c r="J162" s="23" t="inlineStr">
        <is>
          <t>coffee, farmers market, kayaking</t>
        </is>
      </c>
      <c r="K162" s="23" t="inlineStr">
        <is>
          <t>rc planes, running, history</t>
        </is>
      </c>
      <c r="L162" s="23" t="inlineStr">
        <is>
          <t>early mornings</t>
        </is>
      </c>
      <c r="M162" s="23" t="inlineStr">
        <is>
          <t>T1, T2</t>
        </is>
      </c>
      <c r="N162" s="23" t="n">
        <v>0</v>
      </c>
      <c r="O162" s="23" t="n">
        <v>0</v>
      </c>
    </row>
    <row r="163">
      <c r="A163" s="23" t="inlineStr">
        <is>
          <t>e162</t>
        </is>
      </c>
      <c r="B163" s="23" t="inlineStr">
        <is>
          <t>Chris A.</t>
        </is>
      </c>
      <c r="C163" s="23" t="n">
        <v>56</v>
      </c>
      <c r="D163" s="23" t="inlineStr">
        <is>
          <t>remote worker</t>
        </is>
      </c>
      <c r="E163" s="23" t="inlineStr">
        <is>
          <t>No</t>
        </is>
      </c>
      <c r="F163" s="23" t="inlineStr">
        <is>
          <t>Ten Trails</t>
        </is>
      </c>
      <c r="G163" s="23" t="inlineStr">
        <is>
          <t>any</t>
        </is>
      </c>
      <c r="H163" s="23" t="inlineStr">
        <is>
          <t>photography, crafts</t>
        </is>
      </c>
      <c r="I163" s="23" t="inlineStr">
        <is>
          <t>kayaking, trivia</t>
        </is>
      </c>
      <c r="J163" s="23" t="inlineStr">
        <is>
          <t>coffee</t>
        </is>
      </c>
      <c r="K163" s="23" t="inlineStr">
        <is>
          <t>boating, live music</t>
        </is>
      </c>
      <c r="L163" s="23" t="inlineStr">
        <is>
          <t>loud places, spending money</t>
        </is>
      </c>
      <c r="M163" s="23" t="inlineStr">
        <is>
          <t>T1, T2</t>
        </is>
      </c>
      <c r="N163" s="23" t="n">
        <v>2</v>
      </c>
      <c r="O163" s="23" t="n">
        <v>2</v>
      </c>
    </row>
    <row r="164">
      <c r="A164" s="23" t="inlineStr">
        <is>
          <t>e163</t>
        </is>
      </c>
      <c r="B164" s="23" t="inlineStr">
        <is>
          <t>Carol H.</t>
        </is>
      </c>
      <c r="C164" s="23" t="n">
        <v>44</v>
      </c>
      <c r="D164" s="23" t="inlineStr">
        <is>
          <t>commuter</t>
        </is>
      </c>
      <c r="E164" s="23" t="inlineStr">
        <is>
          <t>No</t>
        </is>
      </c>
      <c r="F164" s="23" t="inlineStr">
        <is>
          <t>Lake Sawyer</t>
        </is>
      </c>
      <c r="G164" s="23" t="inlineStr">
        <is>
          <t>any</t>
        </is>
      </c>
      <c r="H164" s="23" t="inlineStr">
        <is>
          <t>-</t>
        </is>
      </c>
      <c r="I164" s="23" t="inlineStr">
        <is>
          <t>pickleball, dining, watch sports</t>
        </is>
      </c>
      <c r="J164" s="23" t="inlineStr">
        <is>
          <t>board games</t>
        </is>
      </c>
      <c r="K164" s="23" t="inlineStr">
        <is>
          <t>live music, rc planes</t>
        </is>
      </c>
      <c r="L164" s="23" t="inlineStr">
        <is>
          <t>spending money</t>
        </is>
      </c>
      <c r="M164" s="23" t="inlineStr">
        <is>
          <t>T1, T2</t>
        </is>
      </c>
      <c r="N164" s="23" t="n">
        <v>0</v>
      </c>
      <c r="O164" s="23" t="n">
        <v>0</v>
      </c>
    </row>
    <row r="165">
      <c r="A165" s="23" t="inlineStr">
        <is>
          <t>e164</t>
        </is>
      </c>
      <c r="B165" s="23" t="inlineStr">
        <is>
          <t>Kenji R.</t>
        </is>
      </c>
      <c r="C165" s="23" t="n">
        <v>67</v>
      </c>
      <c r="D165" s="23" t="inlineStr">
        <is>
          <t>commuter</t>
        </is>
      </c>
      <c r="E165" s="23" t="inlineStr">
        <is>
          <t>No</t>
        </is>
      </c>
      <c r="F165" s="23" t="inlineStr">
        <is>
          <t>Lake Sawyer</t>
        </is>
      </c>
      <c r="G165" s="23" t="inlineStr">
        <is>
          <t>free</t>
        </is>
      </c>
      <c r="H165" s="23" t="inlineStr">
        <is>
          <t>-</t>
        </is>
      </c>
      <c r="I165" s="23" t="inlineStr">
        <is>
          <t>live music</t>
        </is>
      </c>
      <c r="J165" s="23" t="inlineStr">
        <is>
          <t>pickleball, running, rc planes</t>
        </is>
      </c>
      <c r="K165" s="23" t="inlineStr">
        <is>
          <t>bmx, board games</t>
        </is>
      </c>
      <c r="L165" s="23" t="inlineStr">
        <is>
          <t>spending money</t>
        </is>
      </c>
      <c r="M165" s="23" t="inlineStr">
        <is>
          <t>T1, T2</t>
        </is>
      </c>
      <c r="N165" s="23" t="n">
        <v>0</v>
      </c>
      <c r="O165" s="23" t="n">
        <v>0</v>
      </c>
    </row>
    <row r="166">
      <c r="A166" s="23" t="inlineStr">
        <is>
          <t>e165</t>
        </is>
      </c>
      <c r="B166" s="23" t="inlineStr">
        <is>
          <t>Hunter M.</t>
        </is>
      </c>
      <c r="C166" s="23" t="n">
        <v>33</v>
      </c>
      <c r="D166" s="23" t="inlineStr">
        <is>
          <t>commuter</t>
        </is>
      </c>
      <c r="E166" s="23" t="inlineStr">
        <is>
          <t>No</t>
        </is>
      </c>
      <c r="F166" s="23" t="inlineStr">
        <is>
          <t>Black Diamond Ridge</t>
        </is>
      </c>
      <c r="G166" s="23" t="inlineStr">
        <is>
          <t>low</t>
        </is>
      </c>
      <c r="H166" s="23" t="inlineStr">
        <is>
          <t>golf</t>
        </is>
      </c>
      <c r="I166" s="23" t="inlineStr">
        <is>
          <t>craft beer</t>
        </is>
      </c>
      <c r="J166" s="23" t="inlineStr">
        <is>
          <t>tubing</t>
        </is>
      </c>
      <c r="K166" s="23" t="inlineStr">
        <is>
          <t>boating</t>
        </is>
      </c>
      <c r="L166" s="23" t="inlineStr">
        <is>
          <t>long drives</t>
        </is>
      </c>
      <c r="M166" s="23" t="inlineStr">
        <is>
          <t>T1, T2</t>
        </is>
      </c>
      <c r="N166" s="23" t="n">
        <v>0</v>
      </c>
      <c r="O166" s="23" t="n">
        <v>0</v>
      </c>
    </row>
    <row r="167">
      <c r="A167" s="23" t="inlineStr">
        <is>
          <t>e166</t>
        </is>
      </c>
      <c r="B167" s="23" t="inlineStr">
        <is>
          <t>Donna W.</t>
        </is>
      </c>
      <c r="C167" s="23" t="n">
        <v>27</v>
      </c>
      <c r="D167" s="23" t="inlineStr">
        <is>
          <t>remote worker</t>
        </is>
      </c>
      <c r="E167" s="23" t="inlineStr">
        <is>
          <t>No</t>
        </is>
      </c>
      <c r="F167" s="23" t="inlineStr">
        <is>
          <t>Ten Trails</t>
        </is>
      </c>
      <c r="G167" s="23" t="inlineStr">
        <is>
          <t>free</t>
        </is>
      </c>
      <c r="H167" s="23" t="inlineStr">
        <is>
          <t>coffee, boating</t>
        </is>
      </c>
      <c r="I167" s="23" t="inlineStr">
        <is>
          <t>yoga</t>
        </is>
      </c>
      <c r="J167" s="23" t="inlineStr">
        <is>
          <t>book club, picnics</t>
        </is>
      </c>
      <c r="K167" s="23" t="inlineStr">
        <is>
          <t>cards</t>
        </is>
      </c>
      <c r="L167" s="23" t="inlineStr">
        <is>
          <t>-</t>
        </is>
      </c>
      <c r="M167" s="23" t="inlineStr">
        <is>
          <t>T1, T2</t>
        </is>
      </c>
      <c r="N167" s="23" t="n">
        <v>0</v>
      </c>
      <c r="O167" s="23" t="n">
        <v>0</v>
      </c>
    </row>
    <row r="168">
      <c r="A168" s="23" t="inlineStr">
        <is>
          <t>e167</t>
        </is>
      </c>
      <c r="B168" s="23" t="inlineStr">
        <is>
          <t>Heather P.</t>
        </is>
      </c>
      <c r="C168" s="23" t="n">
        <v>31</v>
      </c>
      <c r="D168" s="23" t="inlineStr">
        <is>
          <t>commuter</t>
        </is>
      </c>
      <c r="E168" s="23" t="inlineStr">
        <is>
          <t>No</t>
        </is>
      </c>
      <c r="F168" s="23" t="inlineStr">
        <is>
          <t>Lake Sawyer</t>
        </is>
      </c>
      <c r="G168" s="23" t="inlineStr">
        <is>
          <t>low</t>
        </is>
      </c>
      <c r="H168" s="23" t="inlineStr">
        <is>
          <t>pickleball</t>
        </is>
      </c>
      <c r="I168" s="23" t="inlineStr">
        <is>
          <t>golf, craft beer, live music, hiking</t>
        </is>
      </c>
      <c r="J168" s="23" t="inlineStr">
        <is>
          <t>running</t>
        </is>
      </c>
      <c r="K168" s="23" t="inlineStr">
        <is>
          <t>birding</t>
        </is>
      </c>
      <c r="L168" s="23" t="inlineStr">
        <is>
          <t>early mornings, long drives</t>
        </is>
      </c>
      <c r="M168" s="23" t="inlineStr">
        <is>
          <t>P1, T1, P2, T2</t>
        </is>
      </c>
      <c r="N168" s="23" t="n">
        <v>4</v>
      </c>
      <c r="O168" s="23" t="n">
        <v>3</v>
      </c>
    </row>
    <row r="169">
      <c r="A169" s="23" t="inlineStr">
        <is>
          <t>e168</t>
        </is>
      </c>
      <c r="B169" s="23" t="inlineStr">
        <is>
          <t>Gary W.</t>
        </is>
      </c>
      <c r="C169" s="23" t="n">
        <v>28</v>
      </c>
      <c r="D169" s="23" t="inlineStr">
        <is>
          <t>remote worker</t>
        </is>
      </c>
      <c r="E169" s="23" t="inlineStr">
        <is>
          <t>Yes</t>
        </is>
      </c>
      <c r="F169" s="23" t="inlineStr">
        <is>
          <t>Lawson Hills</t>
        </is>
      </c>
      <c r="G169" s="23" t="inlineStr">
        <is>
          <t>any</t>
        </is>
      </c>
      <c r="H169" s="23" t="inlineStr">
        <is>
          <t>farmers market, coffee</t>
        </is>
      </c>
      <c r="I169" s="23" t="inlineStr">
        <is>
          <t>-</t>
        </is>
      </c>
      <c r="J169" s="23" t="inlineStr">
        <is>
          <t>fishing</t>
        </is>
      </c>
      <c r="K169" s="23" t="inlineStr">
        <is>
          <t>craft beer</t>
        </is>
      </c>
      <c r="L169" s="23" t="inlineStr">
        <is>
          <t>-</t>
        </is>
      </c>
      <c r="M169" s="23" t="inlineStr">
        <is>
          <t>T1, T2</t>
        </is>
      </c>
      <c r="N169" s="23" t="n">
        <v>0</v>
      </c>
      <c r="O169" s="23" t="n">
        <v>0</v>
      </c>
    </row>
    <row r="170">
      <c r="A170" s="23" t="inlineStr">
        <is>
          <t>e169</t>
        </is>
      </c>
      <c r="B170" s="23" t="inlineStr">
        <is>
          <t>Brooke O.</t>
        </is>
      </c>
      <c r="C170" s="23" t="n">
        <v>58</v>
      </c>
      <c r="D170" s="23" t="inlineStr">
        <is>
          <t>commuter</t>
        </is>
      </c>
      <c r="E170" s="23" t="inlineStr">
        <is>
          <t>No</t>
        </is>
      </c>
      <c r="F170" s="23" t="inlineStr">
        <is>
          <t>Morgan Creek</t>
        </is>
      </c>
      <c r="G170" s="23" t="inlineStr">
        <is>
          <t>low</t>
        </is>
      </c>
      <c r="H170" s="23" t="inlineStr">
        <is>
          <t>watch sports</t>
        </is>
      </c>
      <c r="I170" s="23" t="inlineStr">
        <is>
          <t>craft beer, hiking</t>
        </is>
      </c>
      <c r="J170" s="23" t="inlineStr">
        <is>
          <t>pickleball, birding</t>
        </is>
      </c>
      <c r="K170" s="23" t="inlineStr">
        <is>
          <t>bmx</t>
        </is>
      </c>
      <c r="L170" s="23" t="inlineStr">
        <is>
          <t>crowds</t>
        </is>
      </c>
      <c r="M170" s="23" t="inlineStr">
        <is>
          <t>T1, T2</t>
        </is>
      </c>
      <c r="N170" s="23" t="n">
        <v>0</v>
      </c>
      <c r="O170" s="23" t="n">
        <v>0</v>
      </c>
    </row>
    <row r="171">
      <c r="A171" s="23" t="inlineStr">
        <is>
          <t>e170</t>
        </is>
      </c>
      <c r="B171" s="23" t="inlineStr">
        <is>
          <t>Kavya T.</t>
        </is>
      </c>
      <c r="C171" s="23" t="n">
        <v>25</v>
      </c>
      <c r="D171" s="23" t="inlineStr">
        <is>
          <t>commuter</t>
        </is>
      </c>
      <c r="E171" s="23" t="inlineStr">
        <is>
          <t>No</t>
        </is>
      </c>
      <c r="F171" s="23" t="inlineStr">
        <is>
          <t>Lawson Hills</t>
        </is>
      </c>
      <c r="G171" s="23" t="inlineStr">
        <is>
          <t>low</t>
        </is>
      </c>
      <c r="H171" s="23" t="inlineStr">
        <is>
          <t>live music, running, trivia</t>
        </is>
      </c>
      <c r="I171" s="23" t="inlineStr">
        <is>
          <t>volunteering</t>
        </is>
      </c>
      <c r="J171" s="23" t="inlineStr">
        <is>
          <t>hiking</t>
        </is>
      </c>
      <c r="K171" s="23" t="inlineStr">
        <is>
          <t>dining, cooking</t>
        </is>
      </c>
      <c r="L171" s="23" t="inlineStr">
        <is>
          <t>-</t>
        </is>
      </c>
      <c r="M171" s="23" t="inlineStr">
        <is>
          <t>P1, T1, P2, T2</t>
        </is>
      </c>
      <c r="N171" s="23" t="n">
        <v>7</v>
      </c>
      <c r="O171" s="23" t="n">
        <v>6</v>
      </c>
    </row>
    <row r="172">
      <c r="A172" s="23" t="inlineStr">
        <is>
          <t>e171</t>
        </is>
      </c>
      <c r="B172" s="23" t="inlineStr">
        <is>
          <t>Ethan M.</t>
        </is>
      </c>
      <c r="C172" s="23" t="n">
        <v>27</v>
      </c>
      <c r="D172" s="23" t="inlineStr">
        <is>
          <t>commuter</t>
        </is>
      </c>
      <c r="E172" s="23" t="inlineStr">
        <is>
          <t>No</t>
        </is>
      </c>
      <c r="F172" s="23" t="inlineStr">
        <is>
          <t>Downtown</t>
        </is>
      </c>
      <c r="G172" s="23" t="inlineStr">
        <is>
          <t>any</t>
        </is>
      </c>
      <c r="H172" s="23" t="inlineStr">
        <is>
          <t>hiking, live music</t>
        </is>
      </c>
      <c r="I172" s="23" t="inlineStr">
        <is>
          <t>golf, farmers market</t>
        </is>
      </c>
      <c r="J172" s="23" t="inlineStr">
        <is>
          <t>-</t>
        </is>
      </c>
      <c r="K172" s="23" t="inlineStr">
        <is>
          <t>baseball</t>
        </is>
      </c>
      <c r="L172" s="23" t="inlineStr">
        <is>
          <t>-</t>
        </is>
      </c>
      <c r="M172" s="23" t="inlineStr">
        <is>
          <t>T1, T2</t>
        </is>
      </c>
      <c r="N172" s="23" t="n">
        <v>0</v>
      </c>
      <c r="O172" s="23" t="n">
        <v>0</v>
      </c>
    </row>
    <row r="173">
      <c r="A173" s="23" t="inlineStr">
        <is>
          <t>e172</t>
        </is>
      </c>
      <c r="B173" s="23" t="inlineStr">
        <is>
          <t>Katie M.</t>
        </is>
      </c>
      <c r="C173" s="23" t="n">
        <v>41</v>
      </c>
      <c r="D173" s="23" t="inlineStr">
        <is>
          <t>shift worker</t>
        </is>
      </c>
      <c r="E173" s="23" t="inlineStr">
        <is>
          <t>No</t>
        </is>
      </c>
      <c r="F173" s="23" t="inlineStr">
        <is>
          <t>Ten Trails</t>
        </is>
      </c>
      <c r="G173" s="23" t="inlineStr">
        <is>
          <t>low</t>
        </is>
      </c>
      <c r="H173" s="23" t="inlineStr">
        <is>
          <t>watch sports, bmx</t>
        </is>
      </c>
      <c r="I173" s="23" t="inlineStr">
        <is>
          <t>fishing</t>
        </is>
      </c>
      <c r="J173" s="23" t="inlineStr">
        <is>
          <t>hiking</t>
        </is>
      </c>
      <c r="K173" s="23" t="inlineStr">
        <is>
          <t>baseball</t>
        </is>
      </c>
      <c r="L173" s="23" t="inlineStr">
        <is>
          <t>long drives, crowds</t>
        </is>
      </c>
      <c r="M173" s="23" t="inlineStr">
        <is>
          <t>T1, T2</t>
        </is>
      </c>
      <c r="N173" s="23" t="n">
        <v>0</v>
      </c>
      <c r="O173" s="23" t="n">
        <v>0</v>
      </c>
    </row>
    <row r="174">
      <c r="A174" s="23" t="inlineStr">
        <is>
          <t>e173</t>
        </is>
      </c>
      <c r="B174" s="23" t="inlineStr">
        <is>
          <t>Mateo T.</t>
        </is>
      </c>
      <c r="C174" s="23" t="n">
        <v>59</v>
      </c>
      <c r="D174" s="23" t="inlineStr">
        <is>
          <t>commuter</t>
        </is>
      </c>
      <c r="E174" s="23" t="inlineStr">
        <is>
          <t>No</t>
        </is>
      </c>
      <c r="F174" s="23" t="inlineStr">
        <is>
          <t>Morgan Creek</t>
        </is>
      </c>
      <c r="G174" s="23" t="inlineStr">
        <is>
          <t>low</t>
        </is>
      </c>
      <c r="H174" s="23" t="inlineStr">
        <is>
          <t>pickleball, craft beer, board games</t>
        </is>
      </c>
      <c r="I174" s="23" t="inlineStr">
        <is>
          <t>-</t>
        </is>
      </c>
      <c r="J174" s="23" t="inlineStr">
        <is>
          <t>-</t>
        </is>
      </c>
      <c r="K174" s="23" t="inlineStr">
        <is>
          <t>swimming, coffee, boating</t>
        </is>
      </c>
      <c r="L174" s="23" t="inlineStr">
        <is>
          <t>-</t>
        </is>
      </c>
      <c r="M174" s="23" t="inlineStr">
        <is>
          <t>T1, T2</t>
        </is>
      </c>
      <c r="N174" s="23" t="n">
        <v>2</v>
      </c>
      <c r="O174" s="23" t="n">
        <v>1</v>
      </c>
    </row>
    <row r="175">
      <c r="A175" s="23" t="inlineStr">
        <is>
          <t>e174</t>
        </is>
      </c>
      <c r="B175" s="23" t="inlineStr">
        <is>
          <t>Jenna H.</t>
        </is>
      </c>
      <c r="C175" s="23" t="n">
        <v>34</v>
      </c>
      <c r="D175" s="23" t="inlineStr">
        <is>
          <t>commuter</t>
        </is>
      </c>
      <c r="E175" s="23" t="inlineStr">
        <is>
          <t>No</t>
        </is>
      </c>
      <c r="F175" s="23" t="inlineStr">
        <is>
          <t>Black Diamond Ridge</t>
        </is>
      </c>
      <c r="G175" s="23" t="inlineStr">
        <is>
          <t>low</t>
        </is>
      </c>
      <c r="H175" s="23" t="inlineStr">
        <is>
          <t>pickleball</t>
        </is>
      </c>
      <c r="I175" s="23" t="inlineStr">
        <is>
          <t>hiking, mountain biking, kayaking</t>
        </is>
      </c>
      <c r="J175" s="23" t="inlineStr">
        <is>
          <t>live music</t>
        </is>
      </c>
      <c r="K175" s="23" t="inlineStr">
        <is>
          <t>golf</t>
        </is>
      </c>
      <c r="L175" s="23" t="inlineStr">
        <is>
          <t>spending money</t>
        </is>
      </c>
      <c r="M175" s="23" t="inlineStr">
        <is>
          <t>T1, T2</t>
        </is>
      </c>
      <c r="N175" s="23" t="n">
        <v>0</v>
      </c>
      <c r="O175" s="23" t="n">
        <v>0</v>
      </c>
    </row>
    <row r="176">
      <c r="A176" s="23" t="inlineStr">
        <is>
          <t>e175</t>
        </is>
      </c>
      <c r="B176" s="23" t="inlineStr">
        <is>
          <t>Ava M.</t>
        </is>
      </c>
      <c r="C176" s="23" t="n">
        <v>37</v>
      </c>
      <c r="D176" s="23" t="inlineStr">
        <is>
          <t>shift worker</t>
        </is>
      </c>
      <c r="E176" s="23" t="inlineStr">
        <is>
          <t>No</t>
        </is>
      </c>
      <c r="F176" s="23" t="inlineStr">
        <is>
          <t>Lawson Hills</t>
        </is>
      </c>
      <c r="G176" s="23" t="inlineStr">
        <is>
          <t>free</t>
        </is>
      </c>
      <c r="H176" s="23" t="inlineStr">
        <is>
          <t>photography</t>
        </is>
      </c>
      <c r="I176" s="23" t="inlineStr">
        <is>
          <t>watch sports, craft beer, cards, running</t>
        </is>
      </c>
      <c r="J176" s="23" t="inlineStr">
        <is>
          <t>-</t>
        </is>
      </c>
      <c r="K176" s="23" t="inlineStr">
        <is>
          <t>picnics, history, gardening</t>
        </is>
      </c>
      <c r="L176" s="23" t="inlineStr">
        <is>
          <t>loud places, long drives</t>
        </is>
      </c>
      <c r="M176" s="23" t="inlineStr">
        <is>
          <t>T1, T2</t>
        </is>
      </c>
      <c r="N176" s="23" t="n">
        <v>1</v>
      </c>
      <c r="O176" s="23" t="n">
        <v>0</v>
      </c>
    </row>
    <row r="177">
      <c r="A177" s="23" t="inlineStr">
        <is>
          <t>e176</t>
        </is>
      </c>
      <c r="B177" s="23" t="inlineStr">
        <is>
          <t>Ryan B.</t>
        </is>
      </c>
      <c r="C177" s="23" t="n">
        <v>24</v>
      </c>
      <c r="D177" s="23" t="inlineStr">
        <is>
          <t>student</t>
        </is>
      </c>
      <c r="E177" s="23" t="inlineStr">
        <is>
          <t>No</t>
        </is>
      </c>
      <c r="F177" s="23" t="inlineStr">
        <is>
          <t>Lake Sawyer</t>
        </is>
      </c>
      <c r="G177" s="23" t="inlineStr">
        <is>
          <t>any</t>
        </is>
      </c>
      <c r="H177" s="23" t="inlineStr">
        <is>
          <t>-</t>
        </is>
      </c>
      <c r="I177" s="23" t="inlineStr">
        <is>
          <t>trivia, watch sports, mountain biking, crafts</t>
        </is>
      </c>
      <c r="J177" s="23" t="inlineStr">
        <is>
          <t>-</t>
        </is>
      </c>
      <c r="K177" s="23" t="inlineStr">
        <is>
          <t>yoga</t>
        </is>
      </c>
      <c r="L177" s="23" t="inlineStr">
        <is>
          <t>early mornings, late nights</t>
        </is>
      </c>
      <c r="M177" s="23" t="inlineStr">
        <is>
          <t>T1, T2</t>
        </is>
      </c>
      <c r="N177" s="23" t="n">
        <v>0</v>
      </c>
      <c r="O177" s="23" t="n">
        <v>0</v>
      </c>
    </row>
    <row r="178">
      <c r="A178" s="23" t="inlineStr">
        <is>
          <t>e177</t>
        </is>
      </c>
      <c r="B178" s="23" t="inlineStr">
        <is>
          <t>Dylan C.</t>
        </is>
      </c>
      <c r="C178" s="23" t="n">
        <v>40</v>
      </c>
      <c r="D178" s="23" t="inlineStr">
        <is>
          <t>commuter</t>
        </is>
      </c>
      <c r="E178" s="23" t="inlineStr">
        <is>
          <t>Yes</t>
        </is>
      </c>
      <c r="F178" s="23" t="inlineStr">
        <is>
          <t>Morgan Creek</t>
        </is>
      </c>
      <c r="G178" s="23" t="inlineStr">
        <is>
          <t>any</t>
        </is>
      </c>
      <c r="H178" s="23" t="inlineStr">
        <is>
          <t>bmx</t>
        </is>
      </c>
      <c r="I178" s="23" t="inlineStr">
        <is>
          <t>pickleball, swimming, craft beer, running, crafts</t>
        </is>
      </c>
      <c r="J178" s="23" t="inlineStr">
        <is>
          <t>-</t>
        </is>
      </c>
      <c r="K178" s="23" t="inlineStr">
        <is>
          <t>history, basketball</t>
        </is>
      </c>
      <c r="L178" s="23" t="inlineStr">
        <is>
          <t>early mornings, loud places</t>
        </is>
      </c>
      <c r="M178" s="23" t="inlineStr">
        <is>
          <t>T1, T2</t>
        </is>
      </c>
      <c r="N178" s="23" t="n">
        <v>0</v>
      </c>
      <c r="O178" s="23" t="n">
        <v>0</v>
      </c>
    </row>
    <row r="179">
      <c r="A179" s="23" t="inlineStr">
        <is>
          <t>e178</t>
        </is>
      </c>
      <c r="B179" s="23" t="inlineStr">
        <is>
          <t>Priya S.</t>
        </is>
      </c>
      <c r="C179" s="23" t="n">
        <v>53</v>
      </c>
      <c r="D179" s="23" t="inlineStr">
        <is>
          <t>remote worker</t>
        </is>
      </c>
      <c r="E179" s="23" t="inlineStr">
        <is>
          <t>Yes</t>
        </is>
      </c>
      <c r="F179" s="23" t="inlineStr">
        <is>
          <t>Morgan Creek</t>
        </is>
      </c>
      <c r="G179" s="23" t="inlineStr">
        <is>
          <t>any</t>
        </is>
      </c>
      <c r="H179" s="23" t="inlineStr">
        <is>
          <t>hiking, swimming, cards</t>
        </is>
      </c>
      <c r="I179" s="23" t="inlineStr">
        <is>
          <t>rc planes</t>
        </is>
      </c>
      <c r="J179" s="23" t="inlineStr">
        <is>
          <t>coffee</t>
        </is>
      </c>
      <c r="K179" s="23" t="inlineStr">
        <is>
          <t>volunteering, baseball</t>
        </is>
      </c>
      <c r="L179" s="23" t="inlineStr">
        <is>
          <t>crowds, loud places</t>
        </is>
      </c>
      <c r="M179" s="23" t="inlineStr">
        <is>
          <t>T1, T2</t>
        </is>
      </c>
      <c r="N179" s="23" t="n">
        <v>0</v>
      </c>
      <c r="O179" s="23" t="n">
        <v>0</v>
      </c>
    </row>
    <row r="180">
      <c r="A180" s="23" t="inlineStr">
        <is>
          <t>e179</t>
        </is>
      </c>
      <c r="B180" s="23" t="inlineStr">
        <is>
          <t>Mark W.</t>
        </is>
      </c>
      <c r="C180" s="23" t="n">
        <v>55</v>
      </c>
      <c r="D180" s="23" t="inlineStr">
        <is>
          <t>shift worker</t>
        </is>
      </c>
      <c r="E180" s="23" t="inlineStr">
        <is>
          <t>No</t>
        </is>
      </c>
      <c r="F180" s="23" t="inlineStr">
        <is>
          <t>Lawson Hills</t>
        </is>
      </c>
      <c r="G180" s="23" t="inlineStr">
        <is>
          <t>low</t>
        </is>
      </c>
      <c r="H180" s="23" t="inlineStr">
        <is>
          <t>-</t>
        </is>
      </c>
      <c r="I180" s="23" t="inlineStr">
        <is>
          <t>craft beer, hiking, fishing</t>
        </is>
      </c>
      <c r="J180" s="23" t="inlineStr">
        <is>
          <t>coffee</t>
        </is>
      </c>
      <c r="K180" s="23" t="inlineStr">
        <is>
          <t>dog walks, basketball, dining</t>
        </is>
      </c>
      <c r="L180" s="23" t="inlineStr">
        <is>
          <t>long drives, loud places</t>
        </is>
      </c>
      <c r="M180" s="23" t="inlineStr">
        <is>
          <t>T1, T2</t>
        </is>
      </c>
      <c r="N180" s="23" t="n">
        <v>0</v>
      </c>
      <c r="O180" s="23" t="n">
        <v>0</v>
      </c>
    </row>
    <row r="181">
      <c r="A181" s="23" t="inlineStr">
        <is>
          <t>e180</t>
        </is>
      </c>
      <c r="B181" s="23" t="inlineStr">
        <is>
          <t>Dylan M.</t>
        </is>
      </c>
      <c r="C181" s="23" t="n">
        <v>55</v>
      </c>
      <c r="D181" s="23" t="inlineStr">
        <is>
          <t>shift worker</t>
        </is>
      </c>
      <c r="E181" s="23" t="inlineStr">
        <is>
          <t>No</t>
        </is>
      </c>
      <c r="F181" s="23" t="inlineStr">
        <is>
          <t>Downtown</t>
        </is>
      </c>
      <c r="G181" s="23" t="inlineStr">
        <is>
          <t>any</t>
        </is>
      </c>
      <c r="H181" s="23" t="inlineStr">
        <is>
          <t>-</t>
        </is>
      </c>
      <c r="I181" s="23" t="inlineStr">
        <is>
          <t>hiking, coffee, baking</t>
        </is>
      </c>
      <c r="J181" s="23" t="inlineStr">
        <is>
          <t>mountain biking</t>
        </is>
      </c>
      <c r="K181" s="23" t="inlineStr">
        <is>
          <t>crafts, board games, bmx</t>
        </is>
      </c>
      <c r="L181" s="23" t="inlineStr">
        <is>
          <t>spending money, crowds</t>
        </is>
      </c>
      <c r="M181" s="23" t="inlineStr">
        <is>
          <t>T1, T2</t>
        </is>
      </c>
      <c r="N181" s="23" t="n">
        <v>0</v>
      </c>
      <c r="O181" s="23" t="n">
        <v>0</v>
      </c>
    </row>
    <row r="182">
      <c r="A182" s="23" t="inlineStr">
        <is>
          <t>e181</t>
        </is>
      </c>
      <c r="B182" s="23" t="inlineStr">
        <is>
          <t>Chris M.</t>
        </is>
      </c>
      <c r="C182" s="23" t="n">
        <v>27</v>
      </c>
      <c r="D182" s="23" t="inlineStr">
        <is>
          <t>parent at home</t>
        </is>
      </c>
      <c r="E182" s="23" t="inlineStr">
        <is>
          <t>Yes</t>
        </is>
      </c>
      <c r="F182" s="23" t="inlineStr">
        <is>
          <t>Black Diamond Ridge</t>
        </is>
      </c>
      <c r="G182" s="23" t="inlineStr">
        <is>
          <t>low</t>
        </is>
      </c>
      <c r="H182" s="23" t="inlineStr">
        <is>
          <t>swimming, baseball</t>
        </is>
      </c>
      <c r="I182" s="23" t="inlineStr">
        <is>
          <t>swimming, tubing</t>
        </is>
      </c>
      <c r="J182" s="23" t="inlineStr">
        <is>
          <t>kayaking</t>
        </is>
      </c>
      <c r="K182" s="23" t="inlineStr">
        <is>
          <t>crafts</t>
        </is>
      </c>
      <c r="L182" s="23" t="inlineStr">
        <is>
          <t>-</t>
        </is>
      </c>
      <c r="M182" s="23" t="inlineStr">
        <is>
          <t>T1, T2</t>
        </is>
      </c>
      <c r="N182" s="23" t="n">
        <v>0</v>
      </c>
      <c r="O182" s="23" t="n">
        <v>0</v>
      </c>
    </row>
    <row r="183">
      <c r="A183" s="23" t="inlineStr">
        <is>
          <t>e182</t>
        </is>
      </c>
      <c r="B183" s="23" t="inlineStr">
        <is>
          <t>Elena H.</t>
        </is>
      </c>
      <c r="C183" s="23" t="n">
        <v>59</v>
      </c>
      <c r="D183" s="23" t="inlineStr">
        <is>
          <t>remote worker</t>
        </is>
      </c>
      <c r="E183" s="23" t="inlineStr">
        <is>
          <t>No</t>
        </is>
      </c>
      <c r="F183" s="23" t="inlineStr">
        <is>
          <t>Lawson Hills</t>
        </is>
      </c>
      <c r="G183" s="23" t="inlineStr">
        <is>
          <t>any</t>
        </is>
      </c>
      <c r="H183" s="23" t="inlineStr">
        <is>
          <t>yoga, book club, pickleball, gardening</t>
        </is>
      </c>
      <c r="I183" s="23" t="inlineStr">
        <is>
          <t>running</t>
        </is>
      </c>
      <c r="J183" s="23" t="inlineStr">
        <is>
          <t>hiking</t>
        </is>
      </c>
      <c r="K183" s="23" t="inlineStr">
        <is>
          <t>watch sports, cooking</t>
        </is>
      </c>
      <c r="L183" s="23" t="inlineStr">
        <is>
          <t>spending money, loud places</t>
        </is>
      </c>
      <c r="M183" s="23" t="inlineStr">
        <is>
          <t>T1, T2</t>
        </is>
      </c>
      <c r="N183" s="23" t="n">
        <v>1</v>
      </c>
      <c r="O183" s="23" t="n">
        <v>1</v>
      </c>
    </row>
    <row r="184">
      <c r="A184" s="23" t="inlineStr">
        <is>
          <t>e183</t>
        </is>
      </c>
      <c r="B184" s="23" t="inlineStr">
        <is>
          <t>Susan W.</t>
        </is>
      </c>
      <c r="C184" s="23" t="n">
        <v>47</v>
      </c>
      <c r="D184" s="23" t="inlineStr">
        <is>
          <t>commuter</t>
        </is>
      </c>
      <c r="E184" s="23" t="inlineStr">
        <is>
          <t>No</t>
        </is>
      </c>
      <c r="F184" s="23" t="inlineStr">
        <is>
          <t>Lawson Hills</t>
        </is>
      </c>
      <c r="G184" s="23" t="inlineStr">
        <is>
          <t>low</t>
        </is>
      </c>
      <c r="H184" s="23" t="inlineStr">
        <is>
          <t>-</t>
        </is>
      </c>
      <c r="I184" s="23" t="inlineStr">
        <is>
          <t>live music, craft beer, baking</t>
        </is>
      </c>
      <c r="J184" s="23" t="inlineStr">
        <is>
          <t>-</t>
        </is>
      </c>
      <c r="K184" s="23" t="inlineStr">
        <is>
          <t>rc planes, picnics</t>
        </is>
      </c>
      <c r="L184" s="23" t="inlineStr">
        <is>
          <t>long drives, competitive</t>
        </is>
      </c>
      <c r="M184" s="23" t="inlineStr">
        <is>
          <t>T1, T2</t>
        </is>
      </c>
      <c r="N184" s="23" t="n">
        <v>2</v>
      </c>
      <c r="O184" s="23" t="n">
        <v>2</v>
      </c>
    </row>
    <row r="185">
      <c r="A185" s="23" t="inlineStr">
        <is>
          <t>e184</t>
        </is>
      </c>
      <c r="B185" s="23" t="inlineStr">
        <is>
          <t>Mateo R.</t>
        </is>
      </c>
      <c r="C185" s="23" t="n">
        <v>59</v>
      </c>
      <c r="D185" s="23" t="inlineStr">
        <is>
          <t>commuter</t>
        </is>
      </c>
      <c r="E185" s="23" t="inlineStr">
        <is>
          <t>No</t>
        </is>
      </c>
      <c r="F185" s="23" t="inlineStr">
        <is>
          <t>Lake Sawyer</t>
        </is>
      </c>
      <c r="G185" s="23" t="inlineStr">
        <is>
          <t>any</t>
        </is>
      </c>
      <c r="H185" s="23" t="inlineStr">
        <is>
          <t>craft beer, cooking</t>
        </is>
      </c>
      <c r="I185" s="23" t="inlineStr">
        <is>
          <t>running, golf, hiking</t>
        </is>
      </c>
      <c r="J185" s="23" t="inlineStr">
        <is>
          <t>history</t>
        </is>
      </c>
      <c r="K185" s="23" t="inlineStr">
        <is>
          <t>crafts, watch sports, tubing</t>
        </is>
      </c>
      <c r="L185" s="23" t="inlineStr">
        <is>
          <t>-</t>
        </is>
      </c>
      <c r="M185" s="23" t="inlineStr">
        <is>
          <t>T1, T2</t>
        </is>
      </c>
      <c r="N185" s="23" t="n">
        <v>3</v>
      </c>
      <c r="O185" s="23" t="n">
        <v>3</v>
      </c>
    </row>
    <row r="186">
      <c r="A186" s="23" t="inlineStr">
        <is>
          <t>e185</t>
        </is>
      </c>
      <c r="B186" s="23" t="inlineStr">
        <is>
          <t>Paolo C.</t>
        </is>
      </c>
      <c r="C186" s="23" t="n">
        <v>36</v>
      </c>
      <c r="D186" s="23" t="inlineStr">
        <is>
          <t>shift worker</t>
        </is>
      </c>
      <c r="E186" s="23" t="inlineStr">
        <is>
          <t>No</t>
        </is>
      </c>
      <c r="F186" s="23" t="inlineStr">
        <is>
          <t>Black Diamond Ridge</t>
        </is>
      </c>
      <c r="G186" s="23" t="inlineStr">
        <is>
          <t>any</t>
        </is>
      </c>
      <c r="H186" s="23" t="inlineStr">
        <is>
          <t>craft beer, watch sports, golf</t>
        </is>
      </c>
      <c r="I186" s="23" t="inlineStr">
        <is>
          <t>mountain biking</t>
        </is>
      </c>
      <c r="J186" s="23" t="inlineStr">
        <is>
          <t>-</t>
        </is>
      </c>
      <c r="K186" s="23" t="inlineStr">
        <is>
          <t>fishing</t>
        </is>
      </c>
      <c r="L186" s="23" t="inlineStr">
        <is>
          <t>early mornings</t>
        </is>
      </c>
      <c r="M186" s="23" t="inlineStr">
        <is>
          <t>T1, T2</t>
        </is>
      </c>
      <c r="N186" s="23" t="n">
        <v>0</v>
      </c>
      <c r="O186" s="23" t="n">
        <v>0</v>
      </c>
    </row>
    <row r="187">
      <c r="A187" s="23" t="inlineStr">
        <is>
          <t>e186</t>
        </is>
      </c>
      <c r="B187" s="23" t="inlineStr">
        <is>
          <t>Liam M.</t>
        </is>
      </c>
      <c r="C187" s="23" t="n">
        <v>76</v>
      </c>
      <c r="D187" s="23" t="inlineStr">
        <is>
          <t>retiree</t>
        </is>
      </c>
      <c r="E187" s="23" t="inlineStr">
        <is>
          <t>No</t>
        </is>
      </c>
      <c r="F187" s="23" t="inlineStr">
        <is>
          <t>Morgan Creek</t>
        </is>
      </c>
      <c r="G187" s="23" t="inlineStr">
        <is>
          <t>low</t>
        </is>
      </c>
      <c r="H187" s="23" t="inlineStr">
        <is>
          <t>fishing</t>
        </is>
      </c>
      <c r="I187" s="23" t="inlineStr">
        <is>
          <t>crafts</t>
        </is>
      </c>
      <c r="J187" s="23" t="inlineStr">
        <is>
          <t>boating</t>
        </is>
      </c>
      <c r="K187" s="23" t="inlineStr">
        <is>
          <t>live music</t>
        </is>
      </c>
      <c r="L187" s="23" t="inlineStr">
        <is>
          <t>-</t>
        </is>
      </c>
      <c r="M187" s="23" t="inlineStr">
        <is>
          <t>T1, T2</t>
        </is>
      </c>
      <c r="N187" s="23" t="n">
        <v>1</v>
      </c>
      <c r="O187" s="23" t="n">
        <v>1</v>
      </c>
    </row>
    <row r="188">
      <c r="A188" s="23" t="inlineStr">
        <is>
          <t>e187</t>
        </is>
      </c>
      <c r="B188" s="23" t="inlineStr">
        <is>
          <t>Kai W.</t>
        </is>
      </c>
      <c r="C188" s="23" t="n">
        <v>63</v>
      </c>
      <c r="D188" s="23" t="inlineStr">
        <is>
          <t>commuter</t>
        </is>
      </c>
      <c r="E188" s="23" t="inlineStr">
        <is>
          <t>No</t>
        </is>
      </c>
      <c r="F188" s="23" t="inlineStr">
        <is>
          <t>Downtown</t>
        </is>
      </c>
      <c r="G188" s="23" t="inlineStr">
        <is>
          <t>low</t>
        </is>
      </c>
      <c r="H188" s="23" t="inlineStr">
        <is>
          <t>dining</t>
        </is>
      </c>
      <c r="I188" s="23" t="inlineStr">
        <is>
          <t>live music</t>
        </is>
      </c>
      <c r="J188" s="23" t="inlineStr">
        <is>
          <t>hiking, pickleball</t>
        </is>
      </c>
      <c r="K188" s="23" t="inlineStr">
        <is>
          <t>cooking, yoga</t>
        </is>
      </c>
      <c r="L188" s="23" t="inlineStr">
        <is>
          <t>late nights, loud places</t>
        </is>
      </c>
      <c r="M188" s="23" t="inlineStr">
        <is>
          <t>T1, T2</t>
        </is>
      </c>
      <c r="N188" s="23" t="n">
        <v>0</v>
      </c>
      <c r="O188" s="23" t="n">
        <v>0</v>
      </c>
    </row>
    <row r="189">
      <c r="A189" s="23" t="inlineStr">
        <is>
          <t>e188</t>
        </is>
      </c>
      <c r="B189" s="23" t="inlineStr">
        <is>
          <t>Katie B.</t>
        </is>
      </c>
      <c r="C189" s="23" t="n">
        <v>50</v>
      </c>
      <c r="D189" s="23" t="inlineStr">
        <is>
          <t>remote worker</t>
        </is>
      </c>
      <c r="E189" s="23" t="inlineStr">
        <is>
          <t>Yes</t>
        </is>
      </c>
      <c r="F189" s="23" t="inlineStr">
        <is>
          <t>Lake Sawyer</t>
        </is>
      </c>
      <c r="G189" s="23" t="inlineStr">
        <is>
          <t>any</t>
        </is>
      </c>
      <c r="H189" s="23" t="inlineStr">
        <is>
          <t>baking</t>
        </is>
      </c>
      <c r="I189" s="23" t="inlineStr">
        <is>
          <t>book club, craft beer, coffee, fishing, bmx</t>
        </is>
      </c>
      <c r="J189" s="23" t="inlineStr">
        <is>
          <t>-</t>
        </is>
      </c>
      <c r="K189" s="23" t="inlineStr">
        <is>
          <t>watch sports, birding, boating</t>
        </is>
      </c>
      <c r="L189" s="23" t="inlineStr">
        <is>
          <t>competitive, long drives</t>
        </is>
      </c>
      <c r="M189" s="23" t="inlineStr">
        <is>
          <t>T1, T2</t>
        </is>
      </c>
      <c r="N189" s="23" t="n">
        <v>1</v>
      </c>
      <c r="O189" s="23" t="n">
        <v>1</v>
      </c>
    </row>
    <row r="190">
      <c r="A190" s="23" t="inlineStr">
        <is>
          <t>e189</t>
        </is>
      </c>
      <c r="B190" s="23" t="inlineStr">
        <is>
          <t>Karen W.</t>
        </is>
      </c>
      <c r="C190" s="23" t="n">
        <v>57</v>
      </c>
      <c r="D190" s="23" t="inlineStr">
        <is>
          <t>shift worker</t>
        </is>
      </c>
      <c r="E190" s="23" t="inlineStr">
        <is>
          <t>No</t>
        </is>
      </c>
      <c r="F190" s="23" t="inlineStr">
        <is>
          <t>Black Diamond Ridge</t>
        </is>
      </c>
      <c r="G190" s="23" t="inlineStr">
        <is>
          <t>any</t>
        </is>
      </c>
      <c r="H190" s="23" t="inlineStr">
        <is>
          <t>craft beer, kayaking</t>
        </is>
      </c>
      <c r="I190" s="23" t="inlineStr">
        <is>
          <t>mountain biking, cards, swimming</t>
        </is>
      </c>
      <c r="J190" s="23" t="inlineStr">
        <is>
          <t>-</t>
        </is>
      </c>
      <c r="K190" s="23" t="inlineStr">
        <is>
          <t>boating, volunteering</t>
        </is>
      </c>
      <c r="L190" s="23" t="inlineStr">
        <is>
          <t>-</t>
        </is>
      </c>
      <c r="M190" s="23" t="inlineStr">
        <is>
          <t>T1, T2</t>
        </is>
      </c>
      <c r="N190" s="23" t="n">
        <v>1</v>
      </c>
      <c r="O190" s="23" t="n">
        <v>1</v>
      </c>
    </row>
    <row r="191">
      <c r="A191" s="23" t="inlineStr">
        <is>
          <t>e190</t>
        </is>
      </c>
      <c r="B191" s="23" t="inlineStr">
        <is>
          <t>Tom O.</t>
        </is>
      </c>
      <c r="C191" s="23" t="n">
        <v>76</v>
      </c>
      <c r="D191" s="23" t="inlineStr">
        <is>
          <t>retiree</t>
        </is>
      </c>
      <c r="E191" s="23" t="inlineStr">
        <is>
          <t>No</t>
        </is>
      </c>
      <c r="F191" s="23" t="inlineStr">
        <is>
          <t>Downtown</t>
        </is>
      </c>
      <c r="G191" s="23" t="inlineStr">
        <is>
          <t>any</t>
        </is>
      </c>
      <c r="H191" s="23" t="inlineStr">
        <is>
          <t>fishing</t>
        </is>
      </c>
      <c r="I191" s="23" t="inlineStr">
        <is>
          <t>cards, volunteering</t>
        </is>
      </c>
      <c r="J191" s="23" t="inlineStr">
        <is>
          <t>golf, photography</t>
        </is>
      </c>
      <c r="K191" s="23" t="inlineStr">
        <is>
          <t>kayaking</t>
        </is>
      </c>
      <c r="L191" s="23" t="inlineStr">
        <is>
          <t>-</t>
        </is>
      </c>
      <c r="M191" s="23" t="inlineStr">
        <is>
          <t>T1, T2</t>
        </is>
      </c>
      <c r="N191" s="23" t="n">
        <v>2</v>
      </c>
      <c r="O191" s="23" t="n">
        <v>2</v>
      </c>
    </row>
    <row r="192">
      <c r="A192" s="23" t="inlineStr">
        <is>
          <t>e191</t>
        </is>
      </c>
      <c r="B192" s="23" t="inlineStr">
        <is>
          <t>Matt L.</t>
        </is>
      </c>
      <c r="C192" s="23" t="n">
        <v>49</v>
      </c>
      <c r="D192" s="23" t="inlineStr">
        <is>
          <t>remote worker</t>
        </is>
      </c>
      <c r="E192" s="23" t="inlineStr">
        <is>
          <t>No</t>
        </is>
      </c>
      <c r="F192" s="23" t="inlineStr">
        <is>
          <t>Morgan Creek</t>
        </is>
      </c>
      <c r="G192" s="23" t="inlineStr">
        <is>
          <t>low</t>
        </is>
      </c>
      <c r="H192" s="23" t="inlineStr">
        <is>
          <t>kayaking</t>
        </is>
      </c>
      <c r="I192" s="23" t="inlineStr">
        <is>
          <t>photography, running, coffee, crafts</t>
        </is>
      </c>
      <c r="J192" s="23" t="inlineStr">
        <is>
          <t>golf</t>
        </is>
      </c>
      <c r="K192" s="23" t="inlineStr">
        <is>
          <t>picnics</t>
        </is>
      </c>
      <c r="L192" s="23" t="inlineStr">
        <is>
          <t>spending money, early mornings</t>
        </is>
      </c>
      <c r="M192" s="23" t="inlineStr">
        <is>
          <t>T1, T2</t>
        </is>
      </c>
      <c r="N192" s="23" t="n">
        <v>2</v>
      </c>
      <c r="O192" s="23" t="n">
        <v>1</v>
      </c>
    </row>
    <row r="193">
      <c r="A193" s="23" t="inlineStr">
        <is>
          <t>e192</t>
        </is>
      </c>
      <c r="B193" s="23" t="inlineStr">
        <is>
          <t>Tyler F.</t>
        </is>
      </c>
      <c r="C193" s="23" t="n">
        <v>49</v>
      </c>
      <c r="D193" s="23" t="inlineStr">
        <is>
          <t>commuter</t>
        </is>
      </c>
      <c r="E193" s="23" t="inlineStr">
        <is>
          <t>Yes</t>
        </is>
      </c>
      <c r="F193" s="23" t="inlineStr">
        <is>
          <t>Ten Trails</t>
        </is>
      </c>
      <c r="G193" s="23" t="inlineStr">
        <is>
          <t>low</t>
        </is>
      </c>
      <c r="H193" s="23" t="inlineStr">
        <is>
          <t>gardening</t>
        </is>
      </c>
      <c r="I193" s="23" t="inlineStr">
        <is>
          <t>farmers market, golf, running</t>
        </is>
      </c>
      <c r="J193" s="23" t="inlineStr">
        <is>
          <t>baking</t>
        </is>
      </c>
      <c r="K193" s="23" t="inlineStr">
        <is>
          <t>tubing, watch sports, yoga</t>
        </is>
      </c>
      <c r="L193" s="23" t="inlineStr">
        <is>
          <t>loud places, early mornings</t>
        </is>
      </c>
      <c r="M193" s="23" t="inlineStr">
        <is>
          <t>T1, T2</t>
        </is>
      </c>
      <c r="N193" s="23" t="n">
        <v>0</v>
      </c>
      <c r="O193" s="23" t="n">
        <v>0</v>
      </c>
    </row>
    <row r="194">
      <c r="A194" s="23" t="inlineStr">
        <is>
          <t>e193</t>
        </is>
      </c>
      <c r="B194" s="23" t="inlineStr">
        <is>
          <t>Nora M.</t>
        </is>
      </c>
      <c r="C194" s="23" t="n">
        <v>52</v>
      </c>
      <c r="D194" s="23" t="inlineStr">
        <is>
          <t>commuter</t>
        </is>
      </c>
      <c r="E194" s="23" t="inlineStr">
        <is>
          <t>No</t>
        </is>
      </c>
      <c r="F194" s="23" t="inlineStr">
        <is>
          <t>Ten Trails</t>
        </is>
      </c>
      <c r="G194" s="23" t="inlineStr">
        <is>
          <t>any</t>
        </is>
      </c>
      <c r="H194" s="23" t="inlineStr">
        <is>
          <t>crafts</t>
        </is>
      </c>
      <c r="I194" s="23" t="inlineStr">
        <is>
          <t>pickleball</t>
        </is>
      </c>
      <c r="J194" s="23" t="inlineStr">
        <is>
          <t>dining</t>
        </is>
      </c>
      <c r="K194" s="23" t="inlineStr">
        <is>
          <t>birding</t>
        </is>
      </c>
      <c r="L194" s="23" t="inlineStr">
        <is>
          <t>crowds, spending money</t>
        </is>
      </c>
      <c r="M194" s="23" t="inlineStr">
        <is>
          <t>T1, T2</t>
        </is>
      </c>
      <c r="N194" s="23" t="n">
        <v>0</v>
      </c>
      <c r="O194" s="23" t="n">
        <v>0</v>
      </c>
    </row>
    <row r="195">
      <c r="A195" s="23" t="inlineStr">
        <is>
          <t>e194</t>
        </is>
      </c>
      <c r="B195" s="23" t="inlineStr">
        <is>
          <t>Gabriel R.</t>
        </is>
      </c>
      <c r="C195" s="23" t="n">
        <v>48</v>
      </c>
      <c r="D195" s="23" t="inlineStr">
        <is>
          <t>commuter</t>
        </is>
      </c>
      <c r="E195" s="23" t="inlineStr">
        <is>
          <t>Yes</t>
        </is>
      </c>
      <c r="F195" s="23" t="inlineStr">
        <is>
          <t>Morgan Creek</t>
        </is>
      </c>
      <c r="G195" s="23" t="inlineStr">
        <is>
          <t>free</t>
        </is>
      </c>
      <c r="H195" s="23" t="inlineStr">
        <is>
          <t>mountain biking, baseball</t>
        </is>
      </c>
      <c r="I195" s="23" t="inlineStr">
        <is>
          <t>pickleball</t>
        </is>
      </c>
      <c r="J195" s="23" t="inlineStr">
        <is>
          <t>running, dining, farmers market</t>
        </is>
      </c>
      <c r="K195" s="23" t="inlineStr">
        <is>
          <t>swimming, hiking, kayaking</t>
        </is>
      </c>
      <c r="L195" s="23" t="inlineStr">
        <is>
          <t>long drives, early mornings</t>
        </is>
      </c>
      <c r="M195" s="23" t="inlineStr">
        <is>
          <t>T1, T2</t>
        </is>
      </c>
      <c r="N195" s="23" t="n">
        <v>0</v>
      </c>
      <c r="O195" s="23" t="n">
        <v>0</v>
      </c>
    </row>
    <row r="196">
      <c r="A196" s="23" t="inlineStr">
        <is>
          <t>e195</t>
        </is>
      </c>
      <c r="B196" s="23" t="inlineStr">
        <is>
          <t>Luis T.</t>
        </is>
      </c>
      <c r="C196" s="23" t="n">
        <v>27</v>
      </c>
      <c r="D196" s="23" t="inlineStr">
        <is>
          <t>commuter</t>
        </is>
      </c>
      <c r="E196" s="23" t="inlineStr">
        <is>
          <t>No</t>
        </is>
      </c>
      <c r="F196" s="23" t="inlineStr">
        <is>
          <t>Ten Trails</t>
        </is>
      </c>
      <c r="G196" s="23" t="inlineStr">
        <is>
          <t>any</t>
        </is>
      </c>
      <c r="H196" s="23" t="inlineStr">
        <is>
          <t>running</t>
        </is>
      </c>
      <c r="I196" s="23" t="inlineStr">
        <is>
          <t>live music, golf, craft beer</t>
        </is>
      </c>
      <c r="J196" s="23" t="inlineStr">
        <is>
          <t>-</t>
        </is>
      </c>
      <c r="K196" s="23" t="inlineStr">
        <is>
          <t>tubing</t>
        </is>
      </c>
      <c r="L196" s="23" t="inlineStr">
        <is>
          <t>crowds</t>
        </is>
      </c>
      <c r="M196" s="23" t="inlineStr">
        <is>
          <t>T1, T2</t>
        </is>
      </c>
      <c r="N196" s="23" t="n">
        <v>0</v>
      </c>
      <c r="O196" s="23" t="n">
        <v>0</v>
      </c>
    </row>
    <row r="197">
      <c r="A197" s="23" t="inlineStr">
        <is>
          <t>e196</t>
        </is>
      </c>
      <c r="B197" s="23" t="inlineStr">
        <is>
          <t>Arjun S.</t>
        </is>
      </c>
      <c r="C197" s="23" t="n">
        <v>22</v>
      </c>
      <c r="D197" s="23" t="inlineStr">
        <is>
          <t>student</t>
        </is>
      </c>
      <c r="E197" s="23" t="inlineStr">
        <is>
          <t>No</t>
        </is>
      </c>
      <c r="F197" s="23" t="inlineStr">
        <is>
          <t>Black Diamond Ridge</t>
        </is>
      </c>
      <c r="G197" s="23" t="inlineStr">
        <is>
          <t>low</t>
        </is>
      </c>
      <c r="H197" s="23" t="inlineStr">
        <is>
          <t>trivia</t>
        </is>
      </c>
      <c r="I197" s="23" t="inlineStr">
        <is>
          <t>board games, dog walks</t>
        </is>
      </c>
      <c r="J197" s="23" t="inlineStr">
        <is>
          <t>mountain biking</t>
        </is>
      </c>
      <c r="K197" s="23" t="inlineStr">
        <is>
          <t>tubing</t>
        </is>
      </c>
      <c r="L197" s="23" t="inlineStr">
        <is>
          <t>spending money</t>
        </is>
      </c>
      <c r="M197" s="23" t="inlineStr">
        <is>
          <t>T1, T2</t>
        </is>
      </c>
      <c r="N197" s="23" t="n">
        <v>2</v>
      </c>
      <c r="O197" s="23" t="n">
        <v>1</v>
      </c>
    </row>
    <row r="198">
      <c r="A198" s="23" t="inlineStr">
        <is>
          <t>e197</t>
        </is>
      </c>
      <c r="B198" s="23" t="inlineStr">
        <is>
          <t>Hannah B.</t>
        </is>
      </c>
      <c r="C198" s="23" t="n">
        <v>47</v>
      </c>
      <c r="D198" s="23" t="inlineStr">
        <is>
          <t>remote worker</t>
        </is>
      </c>
      <c r="E198" s="23" t="inlineStr">
        <is>
          <t>Yes</t>
        </is>
      </c>
      <c r="F198" s="23" t="inlineStr">
        <is>
          <t>Lawson Hills</t>
        </is>
      </c>
      <c r="G198" s="23" t="inlineStr">
        <is>
          <t>low</t>
        </is>
      </c>
      <c r="H198" s="23" t="inlineStr">
        <is>
          <t>yoga, running</t>
        </is>
      </c>
      <c r="I198" s="23" t="inlineStr">
        <is>
          <t>-</t>
        </is>
      </c>
      <c r="J198" s="23" t="inlineStr">
        <is>
          <t>coffee</t>
        </is>
      </c>
      <c r="K198" s="23" t="inlineStr">
        <is>
          <t>boating, kayaking</t>
        </is>
      </c>
      <c r="L198" s="23" t="inlineStr">
        <is>
          <t>competitive, early mornings</t>
        </is>
      </c>
      <c r="M198" s="23" t="inlineStr">
        <is>
          <t>T1, T2</t>
        </is>
      </c>
      <c r="N198" s="23" t="n">
        <v>0</v>
      </c>
      <c r="O198" s="23" t="n">
        <v>0</v>
      </c>
    </row>
    <row r="199">
      <c r="A199" s="23" t="inlineStr">
        <is>
          <t>e198</t>
        </is>
      </c>
      <c r="B199" s="23" t="inlineStr">
        <is>
          <t>Paige A.</t>
        </is>
      </c>
      <c r="C199" s="23" t="n">
        <v>67</v>
      </c>
      <c r="D199" s="23" t="inlineStr">
        <is>
          <t>commuter</t>
        </is>
      </c>
      <c r="E199" s="23" t="inlineStr">
        <is>
          <t>No</t>
        </is>
      </c>
      <c r="F199" s="23" t="inlineStr">
        <is>
          <t>Lawson Hills</t>
        </is>
      </c>
      <c r="G199" s="23" t="inlineStr">
        <is>
          <t>any</t>
        </is>
      </c>
      <c r="H199" s="23" t="inlineStr">
        <is>
          <t>craft beer, running, boating</t>
        </is>
      </c>
      <c r="I199" s="23" t="inlineStr">
        <is>
          <t>-</t>
        </is>
      </c>
      <c r="J199" s="23" t="inlineStr">
        <is>
          <t>-</t>
        </is>
      </c>
      <c r="K199" s="23" t="inlineStr">
        <is>
          <t>bmx, pickleball, kayaking</t>
        </is>
      </c>
      <c r="L199" s="23" t="inlineStr">
        <is>
          <t>spending money, long drives</t>
        </is>
      </c>
      <c r="M199" s="23" t="inlineStr">
        <is>
          <t>T1, T2</t>
        </is>
      </c>
      <c r="N199" s="23" t="n">
        <v>2</v>
      </c>
      <c r="O199" s="23" t="n">
        <v>2</v>
      </c>
    </row>
    <row r="200">
      <c r="A200" s="23" t="inlineStr">
        <is>
          <t>e199</t>
        </is>
      </c>
      <c r="B200" s="23" t="inlineStr">
        <is>
          <t>Min-jun L.</t>
        </is>
      </c>
      <c r="C200" s="23" t="n">
        <v>53</v>
      </c>
      <c r="D200" s="23" t="inlineStr">
        <is>
          <t>remote worker</t>
        </is>
      </c>
      <c r="E200" s="23" t="inlineStr">
        <is>
          <t>No</t>
        </is>
      </c>
      <c r="F200" s="23" t="inlineStr">
        <is>
          <t>Downtown</t>
        </is>
      </c>
      <c r="G200" s="23" t="inlineStr">
        <is>
          <t>free</t>
        </is>
      </c>
      <c r="H200" s="23" t="inlineStr">
        <is>
          <t>running, yoga, swimming</t>
        </is>
      </c>
      <c r="I200" s="23" t="inlineStr">
        <is>
          <t>kayaking</t>
        </is>
      </c>
      <c r="J200" s="23" t="inlineStr">
        <is>
          <t>-</t>
        </is>
      </c>
      <c r="K200" s="23" t="inlineStr">
        <is>
          <t>dining, baseball</t>
        </is>
      </c>
      <c r="L200" s="23" t="inlineStr">
        <is>
          <t>spending money, early mornings</t>
        </is>
      </c>
      <c r="M200" s="23" t="inlineStr">
        <is>
          <t>T1, T2</t>
        </is>
      </c>
      <c r="N200" s="23" t="n">
        <v>0</v>
      </c>
      <c r="O200" s="23" t="n">
        <v>0</v>
      </c>
    </row>
    <row r="201">
      <c r="A201" s="23" t="inlineStr">
        <is>
          <t>e200</t>
        </is>
      </c>
      <c r="B201" s="23" t="inlineStr">
        <is>
          <t>Hunter C.</t>
        </is>
      </c>
      <c r="C201" s="23" t="n">
        <v>59</v>
      </c>
      <c r="D201" s="23" t="inlineStr">
        <is>
          <t>commuter</t>
        </is>
      </c>
      <c r="E201" s="23" t="inlineStr">
        <is>
          <t>No</t>
        </is>
      </c>
      <c r="F201" s="23" t="inlineStr">
        <is>
          <t>Downtown</t>
        </is>
      </c>
      <c r="G201" s="23" t="inlineStr">
        <is>
          <t>free</t>
        </is>
      </c>
      <c r="H201" s="23" t="inlineStr">
        <is>
          <t>live music</t>
        </is>
      </c>
      <c r="I201" s="23" t="inlineStr">
        <is>
          <t>pickleball, dining, board games, bmx</t>
        </is>
      </c>
      <c r="J201" s="23" t="inlineStr">
        <is>
          <t>-</t>
        </is>
      </c>
      <c r="K201" s="23" t="inlineStr">
        <is>
          <t>birding, swimming</t>
        </is>
      </c>
      <c r="L201" s="23" t="inlineStr">
        <is>
          <t>crowds, late nights</t>
        </is>
      </c>
      <c r="M201" s="23" t="inlineStr">
        <is>
          <t>T1, T2</t>
        </is>
      </c>
      <c r="N201" s="23" t="n">
        <v>2</v>
      </c>
      <c r="O201" s="23" t="n">
        <v>1</v>
      </c>
    </row>
  </sheetData>
  <autoFilter ref="A1:O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2026-10-29T14:42:52Z</dcterms:created>
  <dcterms:modified xsi:type="dcterms:W3CDTF">2026-10-29T14:42:52Z</dcterms:modified>
</cp:coreProperties>
</file>